
<file path=[Content_Types].xml><?xml version="1.0" encoding="utf-8"?>
<Types xmlns="http://schemas.openxmlformats.org/package/2006/content-type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726"/>
  <workbookPr/>
  <mc:AlternateContent xmlns:mc="http://schemas.openxmlformats.org/markup-compatibility/2006">
    <mc:Choice Requires="x15">
      <x15ac:absPath xmlns:x15ac="http://schemas.microsoft.com/office/spreadsheetml/2010/11/ac" url="/Users/lucassantacruz/Desktop/"/>
    </mc:Choice>
  </mc:AlternateContent>
  <xr:revisionPtr revIDLastSave="0" documentId="13_ncr:1_{0C076435-5D2F-EB40-A22E-36A974F76A1D}" xr6:coauthVersionLast="47" xr6:coauthVersionMax="47" xr10:uidLastSave="{00000000-0000-0000-0000-000000000000}"/>
  <bookViews>
    <workbookView xWindow="0" yWindow="680" windowWidth="34200" windowHeight="19920" activeTab="1" xr2:uid="{00000000-000D-0000-FFFF-FFFF00000000}"/>
  </bookViews>
  <sheets>
    <sheet name="Instructions" sheetId="1" r:id="rId1"/>
    <sheet name="Cards" sheetId="2" r:id="rId2"/>
    <sheet name="Lists" sheetId="3" r:id="rId3"/>
  </sheets>
  <definedNames>
    <definedName name="_xlnm._FilterDatabase" localSheetId="1" hidden="1">Cards!$A$3:$AB$500</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28" i="1" l="1"/>
  <c r="C27" i="1"/>
  <c r="C26"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Battle Cards</author>
  </authors>
  <commentList>
    <comment ref="A3" authorId="0" shapeId="0" xr:uid="{00000000-0006-0000-0100-000001000000}">
      <text>
        <r>
          <rPr>
            <sz val="11"/>
            <color theme="1"/>
            <rFont val="Calibri"/>
            <family val="2"/>
            <scheme val="minor"/>
          </rPr>
          <t>REQUIRED
The real customer name. This is the card title.</t>
        </r>
      </text>
    </comment>
    <comment ref="B3" authorId="0" shapeId="0" xr:uid="{00000000-0006-0000-0100-000002000000}">
      <text>
        <r>
          <rPr>
            <sz val="11"/>
            <color theme="1"/>
            <rFont val="Calibri"/>
            <family val="2"/>
            <scheme val="minor"/>
          </rPr>
          <t>REQUIRED
Headquarters city.</t>
        </r>
      </text>
    </comment>
    <comment ref="C3" authorId="0" shapeId="0" xr:uid="{00000000-0006-0000-0100-000003000000}">
      <text>
        <r>
          <rPr>
            <sz val="11"/>
            <color theme="1"/>
            <rFont val="Calibri"/>
            <family val="2"/>
            <scheme val="minor"/>
          </rPr>
          <t>REQUIRED
Pick from the list. To add a country, add it on the Lists sheet.</t>
        </r>
      </text>
    </comment>
    <comment ref="D3" authorId="0" shapeId="0" xr:uid="{00000000-0006-0000-0100-000004000000}">
      <text>
        <r>
          <rPr>
            <sz val="11"/>
            <color theme="1"/>
            <rFont val="Calibri"/>
            <family val="2"/>
            <scheme val="minor"/>
          </rPr>
          <t>REQUIRED
Pick from the list. Closed taxonomy - filtering only works if values are closed.</t>
        </r>
      </text>
    </comment>
    <comment ref="E3" authorId="0" shapeId="0" xr:uid="{00000000-0006-0000-0100-000005000000}">
      <text>
        <r>
          <rPr>
            <sz val="11"/>
            <color theme="1"/>
            <rFont val="Calibri"/>
            <family val="2"/>
            <scheme val="minor"/>
          </rPr>
          <t>REQUIRED
Pick from the list. Ranges, not exact figures - they stay accurate longer.</t>
        </r>
      </text>
    </comment>
    <comment ref="F3" authorId="0" shapeId="0" xr:uid="{00000000-0006-0000-0100-000006000000}">
      <text>
        <r>
          <rPr>
            <sz val="11"/>
            <color theme="1"/>
            <rFont val="Calibri"/>
            <family val="2"/>
            <scheme val="minor"/>
          </rPr>
          <t>REQUIRED
Number of licensed or active users of the solution.</t>
        </r>
      </text>
    </comment>
    <comment ref="G3" authorId="0" shapeId="0" xr:uid="{00000000-0006-0000-0100-000007000000}">
      <text>
        <r>
          <rPr>
            <sz val="11"/>
            <color theme="1"/>
            <rFont val="Calibri"/>
            <family val="2"/>
            <scheme val="minor"/>
          </rPr>
          <t>REQUIRED
At least one workload is mandatory. Pick from the list.</t>
        </r>
      </text>
    </comment>
    <comment ref="H3" authorId="0" shapeId="0" xr:uid="{00000000-0006-0000-0100-000008000000}">
      <text>
        <r>
          <rPr>
            <sz val="11"/>
            <color theme="1"/>
            <rFont val="Calibri"/>
            <family val="2"/>
            <scheme val="minor"/>
          </rPr>
          <t>Optional
Optional. Leave blank if not applicable.</t>
        </r>
      </text>
    </comment>
    <comment ref="I3" authorId="0" shapeId="0" xr:uid="{00000000-0006-0000-0100-000009000000}">
      <text>
        <r>
          <rPr>
            <sz val="11"/>
            <color theme="1"/>
            <rFont val="Calibri"/>
            <family val="2"/>
            <scheme val="minor"/>
          </rPr>
          <t>Optional
Optional.</t>
        </r>
      </text>
    </comment>
    <comment ref="J3" authorId="0" shapeId="0" xr:uid="{00000000-0006-0000-0100-00000A000000}">
      <text>
        <r>
          <rPr>
            <sz val="11"/>
            <color theme="1"/>
            <rFont val="Calibri"/>
            <family val="2"/>
            <scheme val="minor"/>
          </rPr>
          <t>Optional
Optional.</t>
        </r>
      </text>
    </comment>
    <comment ref="K3" authorId="0" shapeId="0" xr:uid="{00000000-0006-0000-0100-00000B000000}">
      <text>
        <r>
          <rPr>
            <sz val="11"/>
            <color theme="1"/>
            <rFont val="Calibri"/>
            <family val="2"/>
            <scheme val="minor"/>
          </rPr>
          <t>Optional
Optional.</t>
        </r>
      </text>
    </comment>
    <comment ref="L3" authorId="0" shapeId="0" xr:uid="{00000000-0006-0000-0100-00000C000000}">
      <text>
        <r>
          <rPr>
            <sz val="11"/>
            <color theme="1"/>
            <rFont val="Calibri"/>
            <family val="2"/>
            <scheme val="minor"/>
          </rPr>
          <t>REQUIRED
Up to 600 characters of plain prose, written for a salesperson. No bullet points, no jargon.</t>
        </r>
      </text>
    </comment>
    <comment ref="M3" authorId="0" shapeId="0" xr:uid="{00000000-0006-0000-0100-00000D000000}">
      <text>
        <r>
          <rPr>
            <sz val="11"/>
            <color theme="1"/>
            <rFont val="Calibri"/>
            <family val="2"/>
            <scheme val="minor"/>
          </rPr>
          <t>Optional
Up to 90 characters. A concrete outcome, ideally with a number.</t>
        </r>
      </text>
    </comment>
    <comment ref="N3" authorId="0" shapeId="0" xr:uid="{00000000-0006-0000-0100-00000E000000}">
      <text>
        <r>
          <rPr>
            <sz val="11"/>
            <color theme="1"/>
            <rFont val="Calibri"/>
            <family val="2"/>
            <scheme val="minor"/>
          </rPr>
          <t>Optional
Up to 90 characters.</t>
        </r>
      </text>
    </comment>
    <comment ref="O3" authorId="0" shapeId="0" xr:uid="{00000000-0006-0000-0100-00000F000000}">
      <text>
        <r>
          <rPr>
            <sz val="11"/>
            <color theme="1"/>
            <rFont val="Calibri"/>
            <family val="2"/>
            <scheme val="minor"/>
          </rPr>
          <t>Optional
Up to 90 characters.</t>
        </r>
      </text>
    </comment>
    <comment ref="P3" authorId="0" shapeId="0" xr:uid="{00000000-0006-0000-0100-000010000000}">
      <text>
        <r>
          <rPr>
            <sz val="11"/>
            <color theme="1"/>
            <rFont val="Calibri"/>
            <family val="2"/>
            <scheme val="minor"/>
          </rPr>
          <t>Optional
Type any day of the go-live month, e.g. 01/03/2025. Shown on the card as Mar 2025.</t>
        </r>
      </text>
    </comment>
    <comment ref="Q3" authorId="0" shapeId="0" xr:uid="{00000000-0006-0000-0100-000011000000}">
      <text>
        <r>
          <rPr>
            <sz val="11"/>
            <color theme="1"/>
            <rFont val="Calibri"/>
            <family val="2"/>
            <scheme val="minor"/>
          </rPr>
          <t>Optional
Whole number. Project length from kick-off to go live.</t>
        </r>
      </text>
    </comment>
    <comment ref="R3" authorId="0" shapeId="0" xr:uid="{00000000-0006-0000-0100-000012000000}">
      <text>
        <r>
          <rPr>
            <sz val="11"/>
            <color theme="1"/>
            <rFont val="Calibri"/>
            <family val="2"/>
            <scheme val="minor"/>
          </rPr>
          <t>Optional
Who to ask internally about this account.</t>
        </r>
      </text>
    </comment>
    <comment ref="S3" authorId="0" shapeId="0" xr:uid="{00000000-0006-0000-0100-000013000000}">
      <text>
        <r>
          <rPr>
            <sz val="11"/>
            <color theme="1"/>
            <rFont val="Calibri"/>
            <family val="2"/>
            <scheme val="minor"/>
          </rPr>
          <t>Optional
Optional Microsoft-side contact.</t>
        </r>
      </text>
    </comment>
    <comment ref="T3" authorId="0" shapeId="0" xr:uid="{00000000-0006-0000-0100-000014000000}">
      <text>
        <r>
          <rPr>
            <sz val="11"/>
            <color theme="1"/>
            <rFont val="Calibri"/>
            <family val="2"/>
            <scheme val="minor"/>
          </rPr>
          <t>REQUIRED
Approved = the customer authorized use of its name externally. Internal only = do not publish. No default on purpose - choose deliberately.</t>
        </r>
      </text>
    </comment>
    <comment ref="U3" authorId="0" shapeId="0" xr:uid="{00000000-0006-0000-0100-000015000000}">
      <text>
        <r>
          <rPr>
            <sz val="11"/>
            <color theme="1"/>
            <rFont val="Calibri"/>
            <family val="2"/>
            <scheme val="minor"/>
          </rPr>
          <t>Optional
Link to the full story when one exists.</t>
        </r>
      </text>
    </comment>
    <comment ref="V3" authorId="0" shapeId="0" xr:uid="{00000000-0006-0000-0100-000016000000}">
      <text>
        <r>
          <rPr>
            <sz val="11"/>
            <color theme="1"/>
            <rFont val="Calibri"/>
            <family val="2"/>
            <scheme val="minor"/>
          </rPr>
          <t>REQUIRED
Which organization contributed this card.</t>
        </r>
      </text>
    </comment>
    <comment ref="W3" authorId="0" shapeId="0" xr:uid="{00000000-0006-0000-0100-000017000000}">
      <text>
        <r>
          <rPr>
            <sz val="11"/>
            <color theme="1"/>
            <rFont val="Calibri"/>
            <family val="2"/>
            <scheme val="minor"/>
          </rPr>
          <t>Optional
Comma separated. For anything the fixed taxonomy misses, e.g. multi-country rollout, ISV.</t>
        </r>
      </text>
    </comment>
    <comment ref="X3" authorId="0" shapeId="0" xr:uid="{00000000-0006-0000-0100-000018000000}">
      <text>
        <r>
          <rPr>
            <sz val="11"/>
            <color theme="1"/>
            <rFont val="Calibri"/>
            <family val="2"/>
            <scheme val="minor"/>
          </rPr>
          <t>Optional
Optional. Leave blank and the card renders a monogram from the initials, never a broken image.
It must be a DIRECT link to the image file, normally ending in .png, .jpg or .svg. A link to a page that merely displays the logo will not load.
Best option: save the logo in a folder named logos next to these two files and type the relative path here, for example  logos/acme.png. Same origin, never blocked, and it always survives the PNG export.
Google Drive, Dropbox and GitHub share links are converted automatically. Any other host that refuses to be read by other sites still shows on screen, but the PNG export falls back to the monogram.</t>
        </r>
      </text>
    </comment>
    <comment ref="Y3" authorId="0" shapeId="0" xr:uid="{00000000-0006-0000-0100-000019000000}">
      <text>
        <r>
          <rPr>
            <sz val="11"/>
            <color theme="1"/>
            <rFont val="Calibri"/>
            <family val="2"/>
            <scheme val="minor"/>
          </rPr>
          <t>REQUIRED
Active = visible in the gallery. Inactive = hidden. Never delete a row, set it to Inactive.</t>
        </r>
      </text>
    </comment>
    <comment ref="Z3" authorId="0" shapeId="0" xr:uid="{00000000-0006-0000-0100-00001A000000}">
      <text>
        <r>
          <rPr>
            <sz val="11"/>
            <color theme="1"/>
            <rFont val="Calibri"/>
            <family val="2"/>
            <scheme val="minor"/>
          </rPr>
          <t>Optional
Date you last touched this row. Drives the default Recently updated sort.</t>
        </r>
      </text>
    </comment>
    <comment ref="AA3" authorId="0" shapeId="0" xr:uid="{00000000-0006-0000-0100-00001B000000}">
      <text>
        <r>
          <rPr>
            <sz val="11"/>
            <color theme="1"/>
            <rFont val="Calibri"/>
            <family val="2"/>
            <scheme val="minor"/>
          </rPr>
          <t>Optional
Your name.</t>
        </r>
      </text>
    </comment>
  </commentList>
</comments>
</file>

<file path=xl/sharedStrings.xml><?xml version="1.0" encoding="utf-8"?>
<sst xmlns="http://schemas.openxmlformats.org/spreadsheetml/2006/main" count="247" uniqueCount="187">
  <si>
    <t>Battle Cards</t>
  </si>
  <si>
    <t>Customer success stories in a sales-ready format. Fill the sheet, open the HTML, print or download the card.</t>
  </si>
  <si>
    <t>HOW IT WORKS</t>
  </si>
  <si>
    <t>1. Fill the Cards sheet</t>
  </si>
  <si>
    <t>One row per customer story. Red headers are mandatory, grey ones optional. Anyone on the team can add or edit a row.</t>
  </si>
  <si>
    <t>2. Save the file</t>
  </si>
  <si>
    <t>Keep this workbook and battle-cards.html side by side in the same folder, with these exact filenames.</t>
  </si>
  <si>
    <t>3. Open the HTML</t>
  </si>
  <si>
    <t>battle-cards.html reads this workbook and renders every Active row as a card. Filter, search, print, or download any card as a PNG.</t>
  </si>
  <si>
    <t>4. Share</t>
  </si>
  <si>
    <t>Put the folder on SharePoint or OneDrive so the whole team reads the same file. Any edit here shows up on the next page reload.</t>
  </si>
  <si>
    <t>RULES THAT MATTER</t>
  </si>
  <si>
    <t>Never delete a row</t>
  </si>
  <si>
    <t>Set Status to Inactive. The row disappears from the gallery and the history stays in the file.</t>
  </si>
  <si>
    <t>Closed lists</t>
  </si>
  <si>
    <t>Industry, country, ranges, workloads, segment and statuses come from the Lists sheet. Adding a value there is a deliberate act - filtering only stays useful if the lists stay closed.</t>
  </si>
  <si>
    <t>Reference Status has no default</t>
  </si>
  <si>
    <t>Approved means the customer authorized external use of its name. Internal only means the card is visible to everyone invited, but must not be published. The card shows the badge either way.</t>
  </si>
  <si>
    <t>Workloads drive the colours</t>
  </si>
  <si>
    <t>The AI: / D365: / PP: prefix sets the chip colour on the card and the grouping in the filter panel. Keep the prefix.</t>
  </si>
  <si>
    <t>Summary, 600 characters</t>
  </si>
  <si>
    <t>Plain prose written for a salesperson to read aloud. Longer text still renders but may overflow the 16:9 card.</t>
  </si>
  <si>
    <t>Ranges, not exact figures</t>
  </si>
  <si>
    <t>Employee and user counts are ranges on purpose. They stay accurate longer and they group cleanly in a filter.</t>
  </si>
  <si>
    <t>CUSTOMER LOGOS</t>
  </si>
  <si>
    <t>Best option, a local file</t>
  </si>
  <si>
    <t>Create a folder named logos next to these two files, drop acme.png inside it, and type  logos/acme.png  in the Logo URL column. This never fails and always exports.</t>
  </si>
  <si>
    <t>A web address also works</t>
  </si>
  <si>
    <t>It has to point straight at the image file, normally ending in .png, .jpg or .svg. Right-click the logo in your browser and choose Copy image address - copying the address bar gives you the page, not the image, and the page will not load.</t>
  </si>
  <si>
    <t>Share links</t>
  </si>
  <si>
    <t>Google Drive, Dropbox and GitHub links are converted automatically. Other hosts may refuse to be read by another site: the logo still shows on screen, and the PNG export falls back to the monogram.</t>
  </si>
  <si>
    <t>No logo at all</t>
  </si>
  <si>
    <t>Leave the cell blank. The card renders a red monogram tile from the customer initials, which looks deliberate rather than broken.</t>
  </si>
  <si>
    <t>STATUS</t>
  </si>
  <si>
    <t>Rows filled in</t>
  </si>
  <si>
    <t>total rows on the Cards sheet</t>
  </si>
  <si>
    <t>Active cards</t>
  </si>
  <si>
    <t>what the gallery will show</t>
  </si>
  <si>
    <t>Approved for external use</t>
  </si>
  <si>
    <t>cards you may show a customer</t>
  </si>
  <si>
    <t>Note</t>
  </si>
  <si>
    <t>The five rows currently on the Cards sheet are fictional examples showing the expected format. Delete them before the workbook goes live.</t>
  </si>
  <si>
    <t>Identity</t>
  </si>
  <si>
    <t>Colours and typography follow TemplateAP_PPTX.pptx: AlfaPeople red EA2419, greys 464646 and 6A6A6A, Arial on the sheet and Segoe UI on the card.</t>
  </si>
  <si>
    <t>BATTLE CARDS   |   one row = one card</t>
  </si>
  <si>
    <t>Fill one row per customer story. Red headers are mandatory. Grey headers are optional - leave them blank rather than writing 'N/A'. Cells with a dropdown only accept values from the Lists sheet. Never delete a row: set Status to Inactive.</t>
  </si>
  <si>
    <t>Customer Name *</t>
  </si>
  <si>
    <t>HQ City *</t>
  </si>
  <si>
    <t>HQ Country *</t>
  </si>
  <si>
    <t>Industry *</t>
  </si>
  <si>
    <t>Employee Range *</t>
  </si>
  <si>
    <t>User Range *</t>
  </si>
  <si>
    <t>Workload 1 *</t>
  </si>
  <si>
    <t>Workload 2</t>
  </si>
  <si>
    <t>Workload 3</t>
  </si>
  <si>
    <t>Workload 4</t>
  </si>
  <si>
    <t>Workload 5</t>
  </si>
  <si>
    <t>Summary *</t>
  </si>
  <si>
    <t>Key Result 1</t>
  </si>
  <si>
    <t>Key Result 2</t>
  </si>
  <si>
    <t>Key Result 3</t>
  </si>
  <si>
    <t>Go Live Month</t>
  </si>
  <si>
    <t>Duration (Months)</t>
  </si>
  <si>
    <t>AlfaPeople Owner</t>
  </si>
  <si>
    <t>Microsoft Contact</t>
  </si>
  <si>
    <t>Reference Status *</t>
  </si>
  <si>
    <t>Case Study URL</t>
  </si>
  <si>
    <t>Source Org *</t>
  </si>
  <si>
    <t>Tags</t>
  </si>
  <si>
    <t>Logo URL</t>
  </si>
  <si>
    <t>Status *</t>
  </si>
  <si>
    <t>Last Updated</t>
  </si>
  <si>
    <t>Updated By</t>
  </si>
  <si>
    <t>Nordwind Logistica</t>
  </si>
  <si>
    <t>Curitiba</t>
  </si>
  <si>
    <t>Brazil</t>
  </si>
  <si>
    <t>Wholesale &amp; Distribution</t>
  </si>
  <si>
    <t>1,001 to 5,000</t>
  </si>
  <si>
    <t>501 to 2,000</t>
  </si>
  <si>
    <t>D365: Supply Chain Management</t>
  </si>
  <si>
    <t>D365: Finance</t>
  </si>
  <si>
    <t>PP: Power BI</t>
  </si>
  <si>
    <t>Replaced a 14-year-old ERP running on four disconnected instances with a single Dynamics 365 deployment across eight distribution centres. AlfaPeople ran the rollout centre by centre over eleven months with no interruption to shipping. Inventory, finance and transport now share one data model, and the monthly close no longer depends on manual consolidation.</t>
  </si>
  <si>
    <t>Monthly close cut from 9 days to 2</t>
  </si>
  <si>
    <t>Inventory accuracy up from 87% to 99.1%</t>
  </si>
  <si>
    <t>8 distribution centres live in 11 months</t>
  </si>
  <si>
    <t>Lucas Santacruz</t>
  </si>
  <si>
    <t>Renata Alves</t>
  </si>
  <si>
    <t>Approved</t>
  </si>
  <si>
    <t>https://www.alfapeople.com/customer-stories/</t>
  </si>
  <si>
    <t>AlfaPeople</t>
  </si>
  <si>
    <t>multi-site rollout, ERP replacement</t>
  </si>
  <si>
    <t>Active</t>
  </si>
  <si>
    <t>Banco Serrano</t>
  </si>
  <si>
    <t>Santiago</t>
  </si>
  <si>
    <t>Chile</t>
  </si>
  <si>
    <t>Financial Services</t>
  </si>
  <si>
    <t>251 to 1,000</t>
  </si>
  <si>
    <t>101 to 500</t>
  </si>
  <si>
    <t>D365: Customer Service</t>
  </si>
  <si>
    <t>AI: Copilot Studio</t>
  </si>
  <si>
    <t>PP: Power Automate</t>
  </si>
  <si>
    <t>Corporate banking service desk was answering 4,000 tickets a month across email and phone with no shared case history. AlfaPeople implemented Customer Service with a Copilot Studio agent handling the top twelve routine requests end to end, and Power Automate pushing everything else to the right queue with the account context already attached.</t>
  </si>
  <si>
    <t>38% of tickets resolved without an agent</t>
  </si>
  <si>
    <t>First response time down from 6h to 40min</t>
  </si>
  <si>
    <t>Internal only</t>
  </si>
  <si>
    <t>regulated industry, conversational AI</t>
  </si>
  <si>
    <t>Grupo Vitalis</t>
  </si>
  <si>
    <t>Sao Paulo</t>
  </si>
  <si>
    <t>Healthcare</t>
  </si>
  <si>
    <t>More than 5,000</t>
  </si>
  <si>
    <t>More than 2,000</t>
  </si>
  <si>
    <t>AI: Microsoft 365 Copilot</t>
  </si>
  <si>
    <t>PP: Power Apps</t>
  </si>
  <si>
    <t>A hospital network of nine units rolled out Microsoft 365 Copilot to 2,400 clinical and administrative staff, paired with a Power Apps front end that lets ward managers fill the shift roster on a tablet instead of a printed sheet. Adoption was driven by a four-week enablement programme run jointly with the Microsoft customer success team.</t>
  </si>
  <si>
    <t>2,400 seats adopted in 90 days</t>
  </si>
  <si>
    <t>Roster preparation down from 5h to 45min per unit</t>
  </si>
  <si>
    <t>Weekly active Copilot use at 71%</t>
  </si>
  <si>
    <t>Diego Fuentes</t>
  </si>
  <si>
    <t>Microsoft</t>
  </si>
  <si>
    <t>Copilot adoption, frontline workers</t>
  </si>
  <si>
    <t>Andes Retail Group</t>
  </si>
  <si>
    <t>Bogota</t>
  </si>
  <si>
    <t>Colombia</t>
  </si>
  <si>
    <t>Retail</t>
  </si>
  <si>
    <t>D365: Commerce</t>
  </si>
  <si>
    <t>D365: Customer Insights</t>
  </si>
  <si>
    <t>Unified 62 physical stores and the e-commerce channel on Dynamics 365 Commerce, with Customer Insights building a single profile per shopper across both. The loyalty programme, previously running on a spreadsheet-fed third-party tool, now sits inside the same platform.</t>
  </si>
  <si>
    <t>62 stores migrated with zero downtime</t>
  </si>
  <si>
    <t>Repeat purchase rate up 14% in two quarters</t>
  </si>
  <si>
    <t>Mariana Costa</t>
  </si>
  <si>
    <t>omnichannel, loyalty</t>
  </si>
  <si>
    <t>Helios Energia</t>
  </si>
  <si>
    <t>Recife</t>
  </si>
  <si>
    <t>Energy &amp; Utilities</t>
  </si>
  <si>
    <t>26 to 100</t>
  </si>
  <si>
    <t>D365: Field Service</t>
  </si>
  <si>
    <t>D365: Sales</t>
  </si>
  <si>
    <t>Solar installer with 80 field technicians moved from WhatsApp-coordinated dispatch to Field Service, with an offline-capable Power Apps checklist for site surveys. Sales and service now share one customer record, so a technician arrives knowing what was sold and what was promised.</t>
  </si>
  <si>
    <t>Jobs per technician per day up from 2.8 to 4.1</t>
  </si>
  <si>
    <t>Survey-to-quote time down from 6 days to 1</t>
  </si>
  <si>
    <t>field mobility, offline</t>
  </si>
  <si>
    <t>Closed lists. These feed the dropdowns on the Cards sheet and the filter panel in the HTML.</t>
  </si>
  <si>
    <t>Add a value by typing it in the first empty cell of its column - the dropdown picks it up automatically. Do not rename or reorder the columns.</t>
  </si>
  <si>
    <t>Industry</t>
  </si>
  <si>
    <t>HQ Country</t>
  </si>
  <si>
    <t>Employee Range</t>
  </si>
  <si>
    <t>User Range</t>
  </si>
  <si>
    <t>Workloads</t>
  </si>
  <si>
    <t>Reference Status</t>
  </si>
  <si>
    <t>Source Org</t>
  </si>
  <si>
    <t>Status</t>
  </si>
  <si>
    <t>Argentina</t>
  </si>
  <si>
    <t>1 to 50</t>
  </si>
  <si>
    <t>1 to 25</t>
  </si>
  <si>
    <t>51 to 250</t>
  </si>
  <si>
    <t>Inactive</t>
  </si>
  <si>
    <t>AI: Azure AI</t>
  </si>
  <si>
    <t>Manufacturing</t>
  </si>
  <si>
    <t>Food &amp; Beverage</t>
  </si>
  <si>
    <t>Costa Rica</t>
  </si>
  <si>
    <t>Professional Services</t>
  </si>
  <si>
    <t>Denmark</t>
  </si>
  <si>
    <t>D365: Contact Center</t>
  </si>
  <si>
    <t>Real Estate</t>
  </si>
  <si>
    <t>Ecuador</t>
  </si>
  <si>
    <t>Public Sector</t>
  </si>
  <si>
    <t>Germany</t>
  </si>
  <si>
    <t>Mexico</t>
  </si>
  <si>
    <t>D365: Project Operations</t>
  </si>
  <si>
    <t>Netherlands</t>
  </si>
  <si>
    <t>Other</t>
  </si>
  <si>
    <t>Norway</t>
  </si>
  <si>
    <t>Panama</t>
  </si>
  <si>
    <t>Peru</t>
  </si>
  <si>
    <t>D365: Business Central</t>
  </si>
  <si>
    <t>Poland</t>
  </si>
  <si>
    <t>D365: Human Resources</t>
  </si>
  <si>
    <t>Portugal</t>
  </si>
  <si>
    <t>Spain</t>
  </si>
  <si>
    <t>Sweden</t>
  </si>
  <si>
    <t>Switzerland</t>
  </si>
  <si>
    <t>PP: Power Pages</t>
  </si>
  <si>
    <t>United Kingdom</t>
  </si>
  <si>
    <t>United States</t>
  </si>
  <si>
    <t>Uruguay</t>
  </si>
  <si>
    <t>https://blogadmin.vpsvc.com/hub/wp-content/uploads/sites/14/2026/02/types-logos-featured.jpg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</si>
</sst>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5" formatCode="mmm\ yyyy"/>
    <numFmt numFmtId="166" formatCode="dd/mm/yyyy"/>
  </numFmts>
  <fonts count="16" x14ac:knownFonts="1">
    <font>
      <sz val="11"/>
      <color theme="1"/>
      <name val="Calibri"/>
      <family val="2"/>
      <scheme val="minor"/>
    </font>
    <font>
      <b/>
      <sz val="10"/>
      <color rgb="FFEA2419"/>
      <name val="Arial"/>
    </font>
    <font>
      <sz val="9"/>
      <color rgb="FF6A6A6A"/>
      <name val="Arial"/>
    </font>
    <font>
      <b/>
      <sz val="10"/>
      <color rgb="FFFFFFFF"/>
      <name val="Arial"/>
    </font>
    <font>
      <sz val="10"/>
      <color rgb="FF464646"/>
      <name val="Arial"/>
    </font>
    <font>
      <b/>
      <sz val="14"/>
      <color rgb="FFEA2419"/>
      <name val="Arial"/>
    </font>
    <font>
      <sz val="9"/>
      <color rgb="FF464646"/>
      <name val="Arial"/>
    </font>
    <font>
      <b/>
      <sz val="16"/>
      <color rgb="FF464646"/>
      <name val="Arial"/>
    </font>
    <font>
      <sz val="10"/>
      <color rgb="FF6A6A6A"/>
      <name val="Arial"/>
    </font>
    <font>
      <b/>
      <sz val="11"/>
      <color rgb="FFFFFFFF"/>
      <name val="Arial"/>
    </font>
    <font>
      <b/>
      <sz val="10"/>
      <color rgb="FF464646"/>
      <name val="Arial"/>
    </font>
    <font>
      <sz val="9"/>
      <color rgb="FF949494"/>
      <name val="Arial"/>
    </font>
    <font>
      <b/>
      <sz val="9"/>
      <color rgb="FFE17B2C"/>
      <name val="Arial"/>
    </font>
    <font>
      <sz val="9"/>
      <color rgb="FFE17B2C"/>
      <name val="Arial"/>
    </font>
    <font>
      <b/>
      <sz val="9"/>
      <color rgb="FF949494"/>
      <name val="Arial"/>
    </font>
    <font>
      <u/>
      <sz val="11"/>
      <color theme="10"/>
      <name val="Calibri"/>
      <family val="2"/>
      <scheme val="minor"/>
    </font>
  </fonts>
  <fills count="6">
    <fill>
      <patternFill patternType="none"/>
    </fill>
    <fill>
      <patternFill patternType="gray125"/>
    </fill>
    <fill>
      <patternFill patternType="solid">
        <fgColor rgb="FFEA2419"/>
      </patternFill>
    </fill>
    <fill>
      <patternFill patternType="solid">
        <fgColor rgb="FFFFFFFF"/>
      </patternFill>
    </fill>
    <fill>
      <patternFill patternType="solid">
        <fgColor rgb="FF6A6A6A"/>
      </patternFill>
    </fill>
    <fill>
      <patternFill patternType="solid">
        <fgColor rgb="FFFCF1E6"/>
      </patternFill>
    </fill>
  </fills>
  <borders count="2">
    <border>
      <left/>
      <right/>
      <top/>
      <bottom/>
      <diagonal/>
    </border>
    <border>
      <left style="thin">
        <color rgb="FFDADADA"/>
      </left>
      <right style="thin">
        <color rgb="FFDADADA"/>
      </right>
      <top style="thin">
        <color rgb="FFDADADA"/>
      </top>
      <bottom style="thin">
        <color rgb="FFDADADA"/>
      </bottom>
      <diagonal/>
    </border>
  </borders>
  <cellStyleXfs count="2">
    <xf numFmtId="0" fontId="0" fillId="0" borderId="0"/>
    <xf numFmtId="0" fontId="15" fillId="0" borderId="0" applyNumberFormat="0" applyFill="0" applyBorder="0" applyAlignment="0" applyProtection="0"/>
  </cellStyleXfs>
  <cellXfs count="25">
    <xf numFmtId="0" fontId="0" fillId="0" borderId="0" xfId="0"/>
    <xf numFmtId="0" fontId="7" fillId="0" borderId="0" xfId="0" applyFont="1" applyAlignment="1">
      <alignment horizontal="left" vertical="top"/>
    </xf>
    <xf numFmtId="0" fontId="8" fillId="0" borderId="0" xfId="0" applyFont="1" applyAlignment="1">
      <alignment horizontal="left" vertical="top"/>
    </xf>
    <xf numFmtId="0" fontId="9" fillId="2" borderId="0" xfId="0" applyFont="1" applyFill="1" applyAlignment="1">
      <alignment horizontal="left" vertical="top"/>
    </xf>
    <xf numFmtId="0" fontId="10" fillId="0" borderId="0" xfId="0" applyFont="1" applyAlignment="1">
      <alignment horizontal="left" vertical="top"/>
    </xf>
    <xf numFmtId="0" fontId="4" fillId="0" borderId="0" xfId="0" applyFont="1" applyAlignment="1">
      <alignment horizontal="left" vertical="top" wrapText="1"/>
    </xf>
    <xf numFmtId="1" fontId="1" fillId="0" borderId="0" xfId="0" applyNumberFormat="1" applyFont="1" applyAlignment="1">
      <alignment horizontal="left" vertical="top"/>
    </xf>
    <xf numFmtId="0" fontId="11" fillId="0" borderId="0" xfId="0" applyFont="1" applyAlignment="1">
      <alignment horizontal="left" vertical="top"/>
    </xf>
    <xf numFmtId="0" fontId="12" fillId="5" borderId="0" xfId="0" applyFont="1" applyFill="1" applyAlignment="1">
      <alignment horizontal="left" vertical="top"/>
    </xf>
    <xf numFmtId="0" fontId="13" fillId="5" borderId="0" xfId="0" applyFont="1" applyFill="1" applyAlignment="1">
      <alignment horizontal="left" vertical="top" wrapText="1"/>
    </xf>
    <xf numFmtId="0" fontId="14" fillId="0" borderId="0" xfId="0" applyFont="1" applyAlignment="1">
      <alignment horizontal="left" vertical="top"/>
    </xf>
    <xf numFmtId="0" fontId="11" fillId="0" borderId="0" xfId="0" applyFont="1" applyAlignment="1">
      <alignment horizontal="left" vertical="top" wrapText="1"/>
    </xf>
    <xf numFmtId="0" fontId="5" fillId="0" borderId="0" xfId="0" applyFont="1" applyAlignment="1">
      <alignment horizontal="left" vertical="top"/>
    </xf>
    <xf numFmtId="0" fontId="2" fillId="0" borderId="0" xfId="0" applyFont="1" applyAlignment="1">
      <alignment horizontal="left" vertical="top"/>
    </xf>
    <xf numFmtId="0" fontId="3" fillId="2" borderId="1" xfId="0" applyFont="1" applyFill="1" applyBorder="1" applyAlignment="1">
      <alignment horizontal="center" vertical="center" wrapText="1"/>
    </xf>
    <xf numFmtId="0" fontId="3" fillId="4" borderId="1" xfId="0" applyFont="1" applyFill="1" applyBorder="1" applyAlignment="1">
      <alignment horizontal="center" vertical="center" wrapText="1"/>
    </xf>
    <xf numFmtId="0" fontId="6" fillId="3" borderId="1" xfId="0" applyFont="1" applyFill="1" applyBorder="1" applyAlignment="1">
      <alignment horizontal="left" vertical="top"/>
    </xf>
    <xf numFmtId="0" fontId="6" fillId="3" borderId="1" xfId="0" applyFont="1" applyFill="1" applyBorder="1" applyAlignment="1">
      <alignment horizontal="left" vertical="top" wrapText="1"/>
    </xf>
    <xf numFmtId="165" fontId="6" fillId="3" borderId="1" xfId="0" applyNumberFormat="1" applyFont="1" applyFill="1" applyBorder="1" applyAlignment="1">
      <alignment horizontal="left" vertical="top"/>
    </xf>
    <xf numFmtId="1" fontId="6" fillId="3" borderId="1" xfId="0" applyNumberFormat="1" applyFont="1" applyFill="1" applyBorder="1" applyAlignment="1">
      <alignment horizontal="left" vertical="top"/>
    </xf>
    <xf numFmtId="166" fontId="6" fillId="3" borderId="1" xfId="0" applyNumberFormat="1" applyFont="1" applyFill="1" applyBorder="1" applyAlignment="1">
      <alignment horizontal="left" vertical="top"/>
    </xf>
    <xf numFmtId="0" fontId="1" fillId="0" borderId="0" xfId="0" applyFont="1" applyAlignment="1">
      <alignment horizontal="left" vertical="top"/>
    </xf>
    <xf numFmtId="0" fontId="3" fillId="2" borderId="1" xfId="0" applyFont="1" applyFill="1" applyBorder="1" applyAlignment="1">
      <alignment horizontal="center" vertical="top"/>
    </xf>
    <xf numFmtId="0" fontId="4" fillId="3" borderId="1" xfId="0" applyFont="1" applyFill="1" applyBorder="1" applyAlignment="1">
      <alignment horizontal="left" vertical="top"/>
    </xf>
    <xf numFmtId="0" fontId="15" fillId="3" borderId="1" xfId="1" applyFill="1" applyBorder="1" applyAlignment="1">
      <alignment horizontal="left" vertical="top"/>
    </xf>
  </cellXfs>
  <cellStyles count="2">
    <cellStyle name="Hyperlink" xfId="1" builtinId="8"/>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oneCellAnchor>
    <xdr:from>
      <xdr:col>1</xdr:col>
      <xdr:colOff>0</xdr:colOff>
      <xdr:row>1</xdr:row>
      <xdr:rowOff>0</xdr:rowOff>
    </xdr:from>
    <xdr:ext cx="1857375" cy="342900"/>
    <xdr:pic>
      <xdr:nvPicPr>
        <xdr:cNvPr id="2" name="Image 1" descr="Picture">
          <a:extLst>
            <a:ext uri="{FF2B5EF4-FFF2-40B4-BE49-F238E27FC236}">
              <a16:creationId xmlns:a16="http://schemas.microsoft.com/office/drawing/2014/main" id="{00000000-0008-0000-0000-000002000000}"/>
            </a:ext>
          </a:extLst>
        </xdr:cNvPr>
        <xdr:cNvPicPr/>
      </xdr:nvPicPr>
      <xdr:blipFill>
        <a:blip xmlns:r="http://schemas.openxmlformats.org/officeDocument/2006/relationships" r:embed="rId1" cstate="print"/>
        <a:stretch>
          <a:fillRect/>
        </a:stretch>
      </xdr:blipFill>
      <xdr:spPr>
        <a:prstGeom prst="rect">
          <a:avLst/>
        </a:prstGeom>
      </xdr:spPr>
    </xdr:pic>
    <xdr:clientData/>
  </xdr:one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hyperlink" Target="https://blogadmin.vpsvc.com/hub/wp-content/uploads/sites/14/2026/02/types-logos-featured.jpg"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B2:D32"/>
  <sheetViews>
    <sheetView showGridLines="0" workbookViewId="0"/>
  </sheetViews>
  <sheetFormatPr baseColWidth="10" defaultColWidth="8.83203125" defaultRowHeight="15" x14ac:dyDescent="0.2"/>
  <cols>
    <col min="1" max="1" width="3" customWidth="1"/>
    <col min="2" max="2" width="30" customWidth="1"/>
    <col min="3" max="3" width="106" customWidth="1"/>
    <col min="4" max="4" width="26" customWidth="1"/>
  </cols>
  <sheetData>
    <row r="2" spans="2:3" ht="34" customHeight="1" x14ac:dyDescent="0.2">
      <c r="C2" s="1" t="s">
        <v>0</v>
      </c>
    </row>
    <row r="3" spans="2:3" x14ac:dyDescent="0.2">
      <c r="C3" s="2" t="s">
        <v>1</v>
      </c>
    </row>
    <row r="5" spans="2:3" ht="20" customHeight="1" x14ac:dyDescent="0.2">
      <c r="B5" s="3" t="s">
        <v>2</v>
      </c>
      <c r="C5" s="3"/>
    </row>
    <row r="6" spans="2:3" ht="30" customHeight="1" x14ac:dyDescent="0.2">
      <c r="B6" s="4" t="s">
        <v>3</v>
      </c>
      <c r="C6" s="5" t="s">
        <v>4</v>
      </c>
    </row>
    <row r="7" spans="2:3" ht="22" customHeight="1" x14ac:dyDescent="0.2">
      <c r="B7" s="4" t="s">
        <v>5</v>
      </c>
      <c r="C7" s="5" t="s">
        <v>6</v>
      </c>
    </row>
    <row r="8" spans="2:3" ht="30" customHeight="1" x14ac:dyDescent="0.2">
      <c r="B8" s="4" t="s">
        <v>7</v>
      </c>
      <c r="C8" s="5" t="s">
        <v>8</v>
      </c>
    </row>
    <row r="9" spans="2:3" ht="30" customHeight="1" x14ac:dyDescent="0.2">
      <c r="B9" s="4" t="s">
        <v>9</v>
      </c>
      <c r="C9" s="5" t="s">
        <v>10</v>
      </c>
    </row>
    <row r="11" spans="2:3" ht="20" customHeight="1" x14ac:dyDescent="0.2">
      <c r="B11" s="3" t="s">
        <v>11</v>
      </c>
      <c r="C11" s="3"/>
    </row>
    <row r="12" spans="2:3" ht="22" customHeight="1" x14ac:dyDescent="0.2">
      <c r="B12" s="4" t="s">
        <v>12</v>
      </c>
      <c r="C12" s="5" t="s">
        <v>13</v>
      </c>
    </row>
    <row r="13" spans="2:3" ht="32" customHeight="1" x14ac:dyDescent="0.2">
      <c r="B13" s="4" t="s">
        <v>14</v>
      </c>
      <c r="C13" s="5" t="s">
        <v>15</v>
      </c>
    </row>
    <row r="14" spans="2:3" ht="32" customHeight="1" x14ac:dyDescent="0.2">
      <c r="B14" s="4" t="s">
        <v>16</v>
      </c>
      <c r="C14" s="5" t="s">
        <v>17</v>
      </c>
    </row>
    <row r="15" spans="2:3" ht="30" customHeight="1" x14ac:dyDescent="0.2">
      <c r="B15" s="4" t="s">
        <v>18</v>
      </c>
      <c r="C15" s="5" t="s">
        <v>19</v>
      </c>
    </row>
    <row r="16" spans="2:3" ht="22" customHeight="1" x14ac:dyDescent="0.2">
      <c r="B16" s="4" t="s">
        <v>20</v>
      </c>
      <c r="C16" s="5" t="s">
        <v>21</v>
      </c>
    </row>
    <row r="17" spans="2:4" ht="22" customHeight="1" x14ac:dyDescent="0.2">
      <c r="B17" s="4" t="s">
        <v>22</v>
      </c>
      <c r="C17" s="5" t="s">
        <v>23</v>
      </c>
    </row>
    <row r="19" spans="2:4" ht="20" customHeight="1" x14ac:dyDescent="0.2">
      <c r="B19" s="3" t="s">
        <v>24</v>
      </c>
      <c r="C19" s="3"/>
    </row>
    <row r="20" spans="2:4" ht="32" customHeight="1" x14ac:dyDescent="0.2">
      <c r="B20" s="4" t="s">
        <v>25</v>
      </c>
      <c r="C20" s="5" t="s">
        <v>26</v>
      </c>
    </row>
    <row r="21" spans="2:4" ht="42" customHeight="1" x14ac:dyDescent="0.2">
      <c r="B21" s="4" t="s">
        <v>27</v>
      </c>
      <c r="C21" s="5" t="s">
        <v>28</v>
      </c>
    </row>
    <row r="22" spans="2:4" ht="32" customHeight="1" x14ac:dyDescent="0.2">
      <c r="B22" s="4" t="s">
        <v>29</v>
      </c>
      <c r="C22" s="5" t="s">
        <v>30</v>
      </c>
    </row>
    <row r="23" spans="2:4" ht="32" customHeight="1" x14ac:dyDescent="0.2">
      <c r="B23" s="4" t="s">
        <v>31</v>
      </c>
      <c r="C23" s="5" t="s">
        <v>32</v>
      </c>
    </row>
    <row r="25" spans="2:4" ht="20" customHeight="1" x14ac:dyDescent="0.2">
      <c r="B25" s="3" t="s">
        <v>33</v>
      </c>
      <c r="C25" s="3"/>
    </row>
    <row r="26" spans="2:4" x14ac:dyDescent="0.2">
      <c r="B26" s="4" t="s">
        <v>34</v>
      </c>
      <c r="C26" s="6">
        <f>COUNTA(Cards!A4:A500)</f>
        <v>5</v>
      </c>
      <c r="D26" s="7" t="s">
        <v>35</v>
      </c>
    </row>
    <row r="27" spans="2:4" x14ac:dyDescent="0.2">
      <c r="B27" s="4" t="s">
        <v>36</v>
      </c>
      <c r="C27" s="6">
        <f>COUNTIF(Cards!Y4:Y500,"Active")</f>
        <v>5</v>
      </c>
      <c r="D27" s="7" t="s">
        <v>37</v>
      </c>
    </row>
    <row r="28" spans="2:4" x14ac:dyDescent="0.2">
      <c r="B28" s="4" t="s">
        <v>38</v>
      </c>
      <c r="C28" s="6">
        <f>COUNTIFS(Cards!Y4:Y500,"Active",Cards!T4:T500,"Approved")</f>
        <v>3</v>
      </c>
      <c r="D28" s="7" t="s">
        <v>39</v>
      </c>
    </row>
    <row r="30" spans="2:4" ht="24" customHeight="1" x14ac:dyDescent="0.2">
      <c r="B30" s="8" t="s">
        <v>40</v>
      </c>
      <c r="C30" s="9" t="s">
        <v>41</v>
      </c>
    </row>
    <row r="32" spans="2:4" ht="26" x14ac:dyDescent="0.2">
      <c r="B32" s="10" t="s">
        <v>42</v>
      </c>
      <c r="C32" s="11" t="s">
        <v>43</v>
      </c>
    </row>
  </sheetData>
  <pageMargins left="0.75" right="0.75" top="1" bottom="1" header="0.5" footer="0.5"/>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B28"/>
  <sheetViews>
    <sheetView showGridLines="0" tabSelected="1" workbookViewId="0">
      <pane xSplit="1" ySplit="3" topLeftCell="P4" activePane="bottomRight" state="frozen"/>
      <selection pane="topRight"/>
      <selection pane="bottomLeft"/>
      <selection pane="bottomRight" activeCell="X11" sqref="X11"/>
    </sheetView>
  </sheetViews>
  <sheetFormatPr baseColWidth="10" defaultColWidth="8.83203125" defaultRowHeight="15" x14ac:dyDescent="0.2"/>
  <cols>
    <col min="1" max="1" width="26" customWidth="1"/>
    <col min="2" max="3" width="16" customWidth="1"/>
    <col min="4" max="4" width="22" customWidth="1"/>
    <col min="5" max="6" width="16" customWidth="1"/>
    <col min="7" max="11" width="26" customWidth="1"/>
    <col min="12" max="12" width="60" customWidth="1"/>
    <col min="13" max="15" width="34" customWidth="1"/>
    <col min="16" max="17" width="14" customWidth="1"/>
    <col min="18" max="19" width="22" customWidth="1"/>
    <col min="20" max="20" width="18" customWidth="1"/>
    <col min="21" max="21" width="34" customWidth="1"/>
    <col min="22" max="22" width="14" customWidth="1"/>
    <col min="23" max="23" width="28" customWidth="1"/>
    <col min="24" max="24" width="34" customWidth="1"/>
    <col min="25" max="25" width="12" customWidth="1"/>
    <col min="26" max="26" width="14" customWidth="1"/>
    <col min="27" max="27" width="22" customWidth="1"/>
    <col min="28" max="28" width="22" customWidth="1"/>
  </cols>
  <sheetData>
    <row r="1" spans="1:27" ht="22" customHeight="1" x14ac:dyDescent="0.2">
      <c r="A1" s="12" t="s">
        <v>44</v>
      </c>
    </row>
    <row r="2" spans="1:27" ht="16" customHeight="1" x14ac:dyDescent="0.2">
      <c r="A2" s="13" t="s">
        <v>45</v>
      </c>
    </row>
    <row r="3" spans="1:28" ht="34" customHeight="1" x14ac:dyDescent="0.2">
      <c r="A3" s="14" t="s">
        <v>46</v>
      </c>
      <c r="B3" s="14" t="s">
        <v>47</v>
      </c>
      <c r="C3" s="14" t="s">
        <v>48</v>
      </c>
      <c r="D3" s="14" t="s">
        <v>49</v>
      </c>
      <c r="E3" s="14" t="s">
        <v>50</v>
      </c>
      <c r="F3" s="14" t="s">
        <v>51</v>
      </c>
      <c r="G3" s="14" t="s">
        <v>52</v>
      </c>
      <c r="H3" s="15" t="s">
        <v>53</v>
      </c>
      <c r="I3" s="15" t="s">
        <v>54</v>
      </c>
      <c r="J3" s="15" t="s">
        <v>55</v>
      </c>
      <c r="K3" s="15" t="s">
        <v>56</v>
      </c>
      <c r="L3" s="14" t="s">
        <v>57</v>
      </c>
      <c r="M3" s="15" t="s">
        <v>58</v>
      </c>
      <c r="N3" s="15" t="s">
        <v>59</v>
      </c>
      <c r="O3" s="15" t="s">
        <v>60</v>
      </c>
      <c r="P3" s="15" t="s">
        <v>61</v>
      </c>
      <c r="Q3" s="15" t="s">
        <v>62</v>
      </c>
      <c r="R3" s="15" t="s">
        <v>63</v>
      </c>
      <c r="S3" s="15" t="s">
        <v>64</v>
      </c>
      <c r="T3" s="14" t="s">
        <v>65</v>
      </c>
      <c r="U3" s="15" t="s">
        <v>66</v>
      </c>
      <c r="V3" s="14" t="s">
        <v>67</v>
      </c>
      <c r="W3" s="15" t="s">
        <v>68</v>
      </c>
      <c r="X3" s="15" t="s">
        <v>69</v>
      </c>
      <c r="Y3" s="14" t="s">
        <v>70</v>
      </c>
      <c r="Z3" s="15" t="s">
        <v>71</v>
      </c>
      <c r="AA3" s="15" t="s">
        <v>72</v>
      </c>
      <c r="AB3" s="14" t="inlineStr">
        <is>
          <t>MS Segment *</t>
        </is>
      </c>
    </row>
    <row r="4" spans="1:28" ht="46" customHeight="1" x14ac:dyDescent="0.2">
      <c r="A4" s="16" t="s">
        <v>73</v>
      </c>
      <c r="B4" s="16" t="s">
        <v>74</v>
      </c>
      <c r="C4" s="16" t="s">
        <v>75</v>
      </c>
      <c r="D4" s="16" t="s">
        <v>76</v>
      </c>
      <c r="E4" s="16" t="s">
        <v>77</v>
      </c>
      <c r="F4" s="16" t="s">
        <v>78</v>
      </c>
      <c r="G4" s="16" t="s">
        <v>79</v>
      </c>
      <c r="H4" s="16" t="s">
        <v>80</v>
      </c>
      <c r="I4" s="16" t="s">
        <v>81</v>
      </c>
      <c r="J4" s="16"/>
      <c r="K4" s="16"/>
      <c r="L4" s="17" t="s">
        <v>82</v>
      </c>
      <c r="M4" s="17" t="s">
        <v>83</v>
      </c>
      <c r="N4" s="17" t="s">
        <v>84</v>
      </c>
      <c r="O4" s="17" t="s">
        <v>85</v>
      </c>
      <c r="P4" s="18">
        <v>45717</v>
      </c>
      <c r="Q4" s="19">
        <v>11</v>
      </c>
      <c r="R4" s="16" t="s">
        <v>86</v>
      </c>
      <c r="S4" s="16" t="s">
        <v>87</v>
      </c>
      <c r="T4" s="16" t="s">
        <v>88</v>
      </c>
      <c r="U4" s="16" t="s">
        <v>89</v>
      </c>
      <c r="V4" s="16" t="s">
        <v>90</v>
      </c>
      <c r="W4" s="16" t="s">
        <v>91</v>
      </c>
      <c r="X4" s="16"/>
      <c r="Y4" s="16" t="s">
        <v>92</v>
      </c>
      <c r="Z4" s="20">
        <v>46185</v>
      </c>
      <c r="AA4" s="16" t="s">
        <v>86</v>
      </c>
      <c r="AB4" s="16" t="inlineStr">
        <is>
          <t>Enterprise</t>
        </is>
      </c>
    </row>
    <row r="5" spans="1:28" ht="46" customHeight="1" x14ac:dyDescent="0.2">
      <c r="A5" s="16" t="s">
        <v>93</v>
      </c>
      <c r="B5" s="16" t="s">
        <v>94</v>
      </c>
      <c r="C5" s="16" t="s">
        <v>95</v>
      </c>
      <c r="D5" s="16" t="s">
        <v>96</v>
      </c>
      <c r="E5" s="16" t="s">
        <v>97</v>
      </c>
      <c r="F5" s="16" t="s">
        <v>98</v>
      </c>
      <c r="G5" s="16" t="s">
        <v>99</v>
      </c>
      <c r="H5" s="16" t="s">
        <v>100</v>
      </c>
      <c r="I5" s="16" t="s">
        <v>101</v>
      </c>
      <c r="J5" s="16"/>
      <c r="K5" s="16"/>
      <c r="L5" s="17" t="s">
        <v>102</v>
      </c>
      <c r="M5" s="17" t="s">
        <v>103</v>
      </c>
      <c r="N5" s="17" t="s">
        <v>104</v>
      </c>
      <c r="O5" s="17"/>
      <c r="P5" s="18">
        <v>45901</v>
      </c>
      <c r="Q5" s="19">
        <v>6</v>
      </c>
      <c r="R5" s="16" t="s">
        <v>86</v>
      </c>
      <c r="S5" s="16"/>
      <c r="T5" s="16" t="s">
        <v>105</v>
      </c>
      <c r="U5" s="16"/>
      <c r="V5" s="16" t="s">
        <v>90</v>
      </c>
      <c r="W5" s="16" t="s">
        <v>106</v>
      </c>
      <c r="X5" s="16"/>
      <c r="Y5" s="16" t="s">
        <v>92</v>
      </c>
      <c r="Z5" s="20">
        <v>46205</v>
      </c>
      <c r="AA5" s="16" t="s">
        <v>86</v>
      </c>
      <c r="AB5" s="16" t="inlineStr">
        <is>
          <t>Corporate</t>
        </is>
      </c>
    </row>
    <row r="6" spans="1:28" ht="46" customHeight="1" x14ac:dyDescent="0.2">
      <c r="A6" s="16" t="s">
        <v>107</v>
      </c>
      <c r="B6" s="16" t="s">
        <v>108</v>
      </c>
      <c r="C6" s="16" t="s">
        <v>75</v>
      </c>
      <c r="D6" s="16" t="s">
        <v>109</v>
      </c>
      <c r="E6" s="16" t="s">
        <v>110</v>
      </c>
      <c r="F6" s="16" t="s">
        <v>111</v>
      </c>
      <c r="G6" s="16" t="s">
        <v>112</v>
      </c>
      <c r="H6" s="16" t="s">
        <v>113</v>
      </c>
      <c r="I6" s="16" t="s">
        <v>81</v>
      </c>
      <c r="J6" s="16"/>
      <c r="K6" s="16"/>
      <c r="L6" s="17" t="s">
        <v>114</v>
      </c>
      <c r="M6" s="17" t="s">
        <v>115</v>
      </c>
      <c r="N6" s="17" t="s">
        <v>116</v>
      </c>
      <c r="O6" s="17" t="s">
        <v>117</v>
      </c>
      <c r="P6" s="18">
        <v>46023</v>
      </c>
      <c r="Q6" s="19">
        <v>4</v>
      </c>
      <c r="R6" s="16" t="s">
        <v>86</v>
      </c>
      <c r="S6" s="16" t="s">
        <v>118</v>
      </c>
      <c r="T6" s="16" t="s">
        <v>88</v>
      </c>
      <c r="U6" s="16" t="s">
        <v>89</v>
      </c>
      <c r="V6" s="16" t="s">
        <v>119</v>
      </c>
      <c r="W6" s="16" t="s">
        <v>120</v>
      </c>
      <c r="X6" s="16"/>
      <c r="Y6" s="16" t="s">
        <v>92</v>
      </c>
      <c r="Z6" s="20">
        <v>46223</v>
      </c>
      <c r="AA6" s="16" t="s">
        <v>87</v>
      </c>
      <c r="AB6" s="16" t="inlineStr">
        <is>
          <t>Enterprise</t>
        </is>
      </c>
    </row>
    <row r="7" spans="1:28" ht="46" customHeight="1" x14ac:dyDescent="0.2">
      <c r="A7" s="16" t="s">
        <v>121</v>
      </c>
      <c r="B7" s="16" t="s">
        <v>122</v>
      </c>
      <c r="C7" s="16" t="s">
        <v>123</v>
      </c>
      <c r="D7" s="16" t="s">
        <v>124</v>
      </c>
      <c r="E7" s="16" t="s">
        <v>77</v>
      </c>
      <c r="F7" s="16" t="s">
        <v>78</v>
      </c>
      <c r="G7" s="16" t="s">
        <v>125</v>
      </c>
      <c r="H7" s="16" t="s">
        <v>126</v>
      </c>
      <c r="I7" s="16" t="s">
        <v>81</v>
      </c>
      <c r="J7" s="16"/>
      <c r="K7" s="16"/>
      <c r="L7" s="17" t="s">
        <v>127</v>
      </c>
      <c r="M7" s="17" t="s">
        <v>128</v>
      </c>
      <c r="N7" s="17" t="s">
        <v>129</v>
      </c>
      <c r="O7" s="17"/>
      <c r="P7" s="18">
        <v>45597</v>
      </c>
      <c r="Q7" s="19">
        <v>9</v>
      </c>
      <c r="R7" s="16" t="s">
        <v>130</v>
      </c>
      <c r="S7" s="16"/>
      <c r="T7" s="16" t="s">
        <v>88</v>
      </c>
      <c r="U7" s="16"/>
      <c r="V7" s="16" t="s">
        <v>90</v>
      </c>
      <c r="W7" s="16" t="s">
        <v>131</v>
      </c>
      <c r="X7" s="24" t="s">
        <v>186</v>
      </c>
      <c r="Y7" s="16" t="s">
        <v>92</v>
      </c>
      <c r="Z7" s="20">
        <v>46172</v>
      </c>
      <c r="AA7" s="16" t="s">
        <v>130</v>
      </c>
      <c r="AB7" s="16" t="inlineStr">
        <is>
          <t>Enterprise</t>
        </is>
      </c>
    </row>
    <row r="8" spans="1:28" ht="46" customHeight="1" x14ac:dyDescent="0.2">
      <c r="A8" s="16" t="s">
        <v>132</v>
      </c>
      <c r="B8" s="16" t="s">
        <v>133</v>
      </c>
      <c r="C8" s="16" t="s">
        <v>75</v>
      </c>
      <c r="D8" s="16" t="s">
        <v>134</v>
      </c>
      <c r="E8" s="16" t="s">
        <v>97</v>
      </c>
      <c r="F8" s="16" t="s">
        <v>135</v>
      </c>
      <c r="G8" s="16" t="s">
        <v>136</v>
      </c>
      <c r="H8" s="16" t="s">
        <v>137</v>
      </c>
      <c r="I8" s="16" t="s">
        <v>113</v>
      </c>
      <c r="J8" s="16"/>
      <c r="K8" s="16"/>
      <c r="L8" s="17" t="s">
        <v>138</v>
      </c>
      <c r="M8" s="17" t="s">
        <v>139</v>
      </c>
      <c r="N8" s="17" t="s">
        <v>140</v>
      </c>
      <c r="O8" s="17"/>
      <c r="P8" s="18">
        <v>45809</v>
      </c>
      <c r="Q8" s="19">
        <v>5</v>
      </c>
      <c r="R8" s="16" t="s">
        <v>86</v>
      </c>
      <c r="S8" s="16"/>
      <c r="T8" s="16" t="s">
        <v>105</v>
      </c>
      <c r="U8" s="16"/>
      <c r="V8" s="16" t="s">
        <v>90</v>
      </c>
      <c r="W8" s="16" t="s">
        <v>141</v>
      </c>
      <c r="X8" s="16"/>
      <c r="Y8" s="16" t="s">
        <v>92</v>
      </c>
      <c r="Z8" s="20">
        <v>46130</v>
      </c>
      <c r="AA8" s="16" t="s">
        <v>86</v>
      </c>
      <c r="AB8" s="16" t="inlineStr">
        <is>
          <t>Corporate</t>
        </is>
      </c>
    </row>
    <row r="9" spans="1:28" ht="30" customHeight="1" x14ac:dyDescent="0.2">
      <c r="A9" s="17"/>
      <c r="B9" s="17"/>
      <c r="C9" s="17"/>
      <c r="D9" s="17"/>
      <c r="E9" s="17"/>
      <c r="F9" s="17"/>
      <c r="G9" s="17"/>
      <c r="H9" s="17"/>
      <c r="I9" s="17"/>
      <c r="J9" s="17"/>
      <c r="K9" s="17"/>
      <c r="L9" s="17"/>
      <c r="M9" s="17"/>
      <c r="N9" s="17"/>
      <c r="O9" s="17"/>
      <c r="P9" s="17"/>
      <c r="Q9" s="17"/>
      <c r="R9" s="17"/>
      <c r="S9" s="17"/>
      <c r="T9" s="17"/>
      <c r="U9" s="17"/>
      <c r="V9" s="17"/>
      <c r="W9" s="17"/>
      <c r="X9" s="17"/>
      <c r="Y9" s="17"/>
      <c r="Z9" s="17"/>
      <c r="AA9" s="17"/>
      <c r="AB9" s="17"/>
    </row>
    <row r="10" spans="1:28" ht="30" customHeight="1" x14ac:dyDescent="0.2">
      <c r="A10" s="17"/>
      <c r="B10" s="17"/>
      <c r="C10" s="17"/>
      <c r="D10" s="17"/>
      <c r="E10" s="17"/>
      <c r="F10" s="17"/>
      <c r="G10" s="17"/>
      <c r="H10" s="17"/>
      <c r="I10" s="17"/>
      <c r="J10" s="17"/>
      <c r="K10" s="17"/>
      <c r="L10" s="17"/>
      <c r="M10" s="17"/>
      <c r="N10" s="17"/>
      <c r="O10" s="17"/>
      <c r="P10" s="17"/>
      <c r="Q10" s="17"/>
      <c r="R10" s="17"/>
      <c r="S10" s="17"/>
      <c r="T10" s="17"/>
      <c r="U10" s="17"/>
      <c r="V10" s="17"/>
      <c r="W10" s="17"/>
      <c r="X10" s="17"/>
      <c r="Y10" s="17"/>
      <c r="Z10" s="17"/>
      <c r="AA10" s="17"/>
      <c r="AB10" s="17"/>
    </row>
    <row r="11" spans="1:28" ht="30" customHeight="1" x14ac:dyDescent="0.2">
      <c r="A11" s="17"/>
      <c r="B11" s="17"/>
      <c r="C11" s="17"/>
      <c r="D11" s="17"/>
      <c r="E11" s="17"/>
      <c r="F11" s="17"/>
      <c r="G11" s="17"/>
      <c r="H11" s="17"/>
      <c r="I11" s="17"/>
      <c r="J11" s="17"/>
      <c r="K11" s="17"/>
      <c r="L11" s="17"/>
      <c r="M11" s="17"/>
      <c r="N11" s="17"/>
      <c r="O11" s="17"/>
      <c r="P11" s="17"/>
      <c r="Q11" s="17"/>
      <c r="R11" s="17"/>
      <c r="S11" s="17"/>
      <c r="T11" s="17"/>
      <c r="U11" s="17"/>
      <c r="V11" s="17"/>
      <c r="W11" s="17"/>
      <c r="X11" s="17"/>
      <c r="Y11" s="17"/>
      <c r="Z11" s="17"/>
      <c r="AA11" s="17"/>
      <c r="AB11" s="17"/>
    </row>
    <row r="12" spans="1:28" ht="30" customHeight="1" x14ac:dyDescent="0.2">
      <c r="A12" s="17"/>
      <c r="B12" s="17"/>
      <c r="C12" s="17"/>
      <c r="D12" s="17"/>
      <c r="E12" s="17"/>
      <c r="F12" s="17"/>
      <c r="G12" s="17"/>
      <c r="H12" s="17"/>
      <c r="I12" s="17"/>
      <c r="J12" s="17"/>
      <c r="K12" s="17"/>
      <c r="L12" s="17"/>
      <c r="M12" s="17"/>
      <c r="N12" s="17"/>
      <c r="O12" s="17"/>
      <c r="P12" s="17"/>
      <c r="Q12" s="17"/>
      <c r="R12" s="17"/>
      <c r="S12" s="17"/>
      <c r="T12" s="17"/>
      <c r="U12" s="17"/>
      <c r="V12" s="17"/>
      <c r="W12" s="17"/>
      <c r="X12" s="17"/>
      <c r="Y12" s="17"/>
      <c r="Z12" s="17"/>
      <c r="AA12" s="17"/>
      <c r="AB12" s="17"/>
    </row>
    <row r="13" spans="1:28" ht="30" customHeight="1" x14ac:dyDescent="0.2">
      <c r="A13" s="17"/>
      <c r="B13" s="17"/>
      <c r="C13" s="17"/>
      <c r="D13" s="17"/>
      <c r="E13" s="17"/>
      <c r="F13" s="17"/>
      <c r="G13" s="17"/>
      <c r="H13" s="17"/>
      <c r="I13" s="17"/>
      <c r="J13" s="17"/>
      <c r="K13" s="17"/>
      <c r="L13" s="17"/>
      <c r="M13" s="17"/>
      <c r="N13" s="17"/>
      <c r="O13" s="17"/>
      <c r="P13" s="17"/>
      <c r="Q13" s="17"/>
      <c r="R13" s="17"/>
      <c r="S13" s="17"/>
      <c r="T13" s="17"/>
      <c r="U13" s="17"/>
      <c r="V13" s="17"/>
      <c r="W13" s="17"/>
      <c r="X13" s="17"/>
      <c r="Y13" s="17"/>
      <c r="Z13" s="17"/>
      <c r="AA13" s="17"/>
      <c r="AB13" s="17"/>
    </row>
    <row r="14" spans="1:28" ht="30" customHeight="1" x14ac:dyDescent="0.2">
      <c r="A14" s="17"/>
      <c r="B14" s="17"/>
      <c r="C14" s="17"/>
      <c r="D14" s="17"/>
      <c r="E14" s="17"/>
      <c r="F14" s="17"/>
      <c r="G14" s="17"/>
      <c r="H14" s="17"/>
      <c r="I14" s="17"/>
      <c r="J14" s="17"/>
      <c r="K14" s="17"/>
      <c r="L14" s="17"/>
      <c r="M14" s="17"/>
      <c r="N14" s="17"/>
      <c r="O14" s="17"/>
      <c r="P14" s="17"/>
      <c r="Q14" s="17"/>
      <c r="R14" s="17"/>
      <c r="S14" s="17"/>
      <c r="T14" s="17"/>
      <c r="U14" s="17"/>
      <c r="V14" s="17"/>
      <c r="W14" s="17"/>
      <c r="X14" s="17"/>
      <c r="Y14" s="17"/>
      <c r="Z14" s="17"/>
      <c r="AA14" s="17"/>
      <c r="AB14" s="17"/>
    </row>
    <row r="15" spans="1:28" ht="30" customHeight="1" x14ac:dyDescent="0.2">
      <c r="A15" s="17"/>
      <c r="B15" s="17"/>
      <c r="C15" s="17"/>
      <c r="D15" s="17"/>
      <c r="E15" s="17"/>
      <c r="F15" s="17"/>
      <c r="G15" s="17"/>
      <c r="H15" s="17"/>
      <c r="I15" s="17"/>
      <c r="J15" s="17"/>
      <c r="K15" s="17"/>
      <c r="L15" s="17"/>
      <c r="M15" s="17"/>
      <c r="N15" s="17"/>
      <c r="O15" s="17"/>
      <c r="P15" s="17"/>
      <c r="Q15" s="17"/>
      <c r="R15" s="17"/>
      <c r="S15" s="17"/>
      <c r="T15" s="17"/>
      <c r="U15" s="17"/>
      <c r="V15" s="17"/>
      <c r="W15" s="17"/>
      <c r="X15" s="17"/>
      <c r="Y15" s="17"/>
      <c r="Z15" s="17"/>
      <c r="AA15" s="17"/>
      <c r="AB15" s="17"/>
    </row>
    <row r="16" spans="1:28" ht="30" customHeight="1" x14ac:dyDescent="0.2">
      <c r="A16" s="17"/>
      <c r="B16" s="17"/>
      <c r="C16" s="17"/>
      <c r="D16" s="17"/>
      <c r="E16" s="17"/>
      <c r="F16" s="17"/>
      <c r="G16" s="17"/>
      <c r="H16" s="17"/>
      <c r="I16" s="17"/>
      <c r="J16" s="17"/>
      <c r="K16" s="17"/>
      <c r="L16" s="17"/>
      <c r="M16" s="17"/>
      <c r="N16" s="17"/>
      <c r="O16" s="17"/>
      <c r="P16" s="17"/>
      <c r="Q16" s="17"/>
      <c r="R16" s="17"/>
      <c r="S16" s="17"/>
      <c r="T16" s="17"/>
      <c r="U16" s="17"/>
      <c r="V16" s="17"/>
      <c r="W16" s="17"/>
      <c r="X16" s="17"/>
      <c r="Y16" s="17"/>
      <c r="Z16" s="17"/>
      <c r="AA16" s="17"/>
      <c r="AB16" s="17"/>
    </row>
    <row r="17" spans="1:28" ht="30" customHeight="1" x14ac:dyDescent="0.2">
      <c r="A17" s="17"/>
      <c r="B17" s="17"/>
      <c r="C17" s="17"/>
      <c r="D17" s="17"/>
      <c r="E17" s="17"/>
      <c r="F17" s="17"/>
      <c r="G17" s="17"/>
      <c r="H17" s="17"/>
      <c r="I17" s="17"/>
      <c r="J17" s="17"/>
      <c r="K17" s="17"/>
      <c r="L17" s="17"/>
      <c r="M17" s="17"/>
      <c r="N17" s="17"/>
      <c r="O17" s="17"/>
      <c r="P17" s="17"/>
      <c r="Q17" s="17"/>
      <c r="R17" s="17"/>
      <c r="S17" s="17"/>
      <c r="T17" s="17"/>
      <c r="U17" s="17"/>
      <c r="V17" s="17"/>
      <c r="W17" s="17"/>
      <c r="X17" s="17"/>
      <c r="Y17" s="17"/>
      <c r="Z17" s="17"/>
      <c r="AA17" s="17"/>
      <c r="AB17" s="17"/>
    </row>
    <row r="18" spans="1:28" ht="30" customHeight="1" x14ac:dyDescent="0.2">
      <c r="A18" s="17"/>
      <c r="B18" s="17"/>
      <c r="C18" s="17"/>
      <c r="D18" s="17"/>
      <c r="E18" s="17"/>
      <c r="F18" s="17"/>
      <c r="G18" s="17"/>
      <c r="H18" s="17"/>
      <c r="I18" s="17"/>
      <c r="J18" s="17"/>
      <c r="K18" s="17"/>
      <c r="L18" s="17"/>
      <c r="M18" s="17"/>
      <c r="N18" s="17"/>
      <c r="O18" s="17"/>
      <c r="P18" s="17"/>
      <c r="Q18" s="17"/>
      <c r="R18" s="17"/>
      <c r="S18" s="17"/>
      <c r="T18" s="17"/>
      <c r="U18" s="17"/>
      <c r="V18" s="17"/>
      <c r="W18" s="17"/>
      <c r="X18" s="17"/>
      <c r="Y18" s="17"/>
      <c r="Z18" s="17"/>
      <c r="AA18" s="17"/>
      <c r="AB18" s="17"/>
    </row>
    <row r="19" spans="1:28" ht="30" customHeight="1" x14ac:dyDescent="0.2">
      <c r="A19" s="17"/>
      <c r="B19" s="17"/>
      <c r="C19" s="17"/>
      <c r="D19" s="17"/>
      <c r="E19" s="17"/>
      <c r="F19" s="17"/>
      <c r="G19" s="17"/>
      <c r="H19" s="17"/>
      <c r="I19" s="17"/>
      <c r="J19" s="17"/>
      <c r="K19" s="17"/>
      <c r="L19" s="17"/>
      <c r="M19" s="17"/>
      <c r="N19" s="17"/>
      <c r="O19" s="17"/>
      <c r="P19" s="17"/>
      <c r="Q19" s="17"/>
      <c r="R19" s="17"/>
      <c r="S19" s="17"/>
      <c r="T19" s="17"/>
      <c r="U19" s="17"/>
      <c r="V19" s="17"/>
      <c r="W19" s="17"/>
      <c r="X19" s="17"/>
      <c r="Y19" s="17"/>
      <c r="Z19" s="17"/>
      <c r="AA19" s="17"/>
      <c r="AB19" s="17"/>
    </row>
    <row r="20" spans="1:28" ht="30" customHeight="1" x14ac:dyDescent="0.2">
      <c r="A20" s="17"/>
      <c r="B20" s="17"/>
      <c r="C20" s="17"/>
      <c r="D20" s="17"/>
      <c r="E20" s="17"/>
      <c r="F20" s="17"/>
      <c r="G20" s="17"/>
      <c r="H20" s="17"/>
      <c r="I20" s="17"/>
      <c r="J20" s="17"/>
      <c r="K20" s="17"/>
      <c r="L20" s="17"/>
      <c r="M20" s="17"/>
      <c r="N20" s="17"/>
      <c r="O20" s="17"/>
      <c r="P20" s="17"/>
      <c r="Q20" s="17"/>
      <c r="R20" s="17"/>
      <c r="S20" s="17"/>
      <c r="T20" s="17"/>
      <c r="U20" s="17"/>
      <c r="V20" s="17"/>
      <c r="W20" s="17"/>
      <c r="X20" s="17"/>
      <c r="Y20" s="17"/>
      <c r="Z20" s="17"/>
      <c r="AA20" s="17"/>
      <c r="AB20" s="17"/>
    </row>
    <row r="21" spans="1:28" ht="30" customHeight="1" x14ac:dyDescent="0.2">
      <c r="A21" s="17"/>
      <c r="B21" s="17"/>
      <c r="C21" s="17"/>
      <c r="D21" s="17"/>
      <c r="E21" s="17"/>
      <c r="F21" s="17"/>
      <c r="G21" s="17"/>
      <c r="H21" s="17"/>
      <c r="I21" s="17"/>
      <c r="J21" s="17"/>
      <c r="K21" s="17"/>
      <c r="L21" s="17"/>
      <c r="M21" s="17"/>
      <c r="N21" s="17"/>
      <c r="O21" s="17"/>
      <c r="P21" s="17"/>
      <c r="Q21" s="17"/>
      <c r="R21" s="17"/>
      <c r="S21" s="17"/>
      <c r="T21" s="17"/>
      <c r="U21" s="17"/>
      <c r="V21" s="17"/>
      <c r="W21" s="17"/>
      <c r="X21" s="17"/>
      <c r="Y21" s="17"/>
      <c r="Z21" s="17"/>
      <c r="AA21" s="17"/>
      <c r="AB21" s="17"/>
    </row>
    <row r="22" spans="1:28" ht="30" customHeight="1" x14ac:dyDescent="0.2">
      <c r="A22" s="17"/>
      <c r="B22" s="17"/>
      <c r="C22" s="17"/>
      <c r="D22" s="17"/>
      <c r="E22" s="17"/>
      <c r="F22" s="17"/>
      <c r="G22" s="17"/>
      <c r="H22" s="17"/>
      <c r="I22" s="17"/>
      <c r="J22" s="17"/>
      <c r="K22" s="17"/>
      <c r="L22" s="17"/>
      <c r="M22" s="17"/>
      <c r="N22" s="17"/>
      <c r="O22" s="17"/>
      <c r="P22" s="17"/>
      <c r="Q22" s="17"/>
      <c r="R22" s="17"/>
      <c r="S22" s="17"/>
      <c r="T22" s="17"/>
      <c r="U22" s="17"/>
      <c r="V22" s="17"/>
      <c r="W22" s="17"/>
      <c r="X22" s="17"/>
      <c r="Y22" s="17"/>
      <c r="Z22" s="17"/>
      <c r="AA22" s="17"/>
      <c r="AB22" s="17"/>
    </row>
    <row r="23" spans="1:28" ht="30" customHeight="1" x14ac:dyDescent="0.2">
      <c r="A23" s="17"/>
      <c r="B23" s="17"/>
      <c r="C23" s="17"/>
      <c r="D23" s="17"/>
      <c r="E23" s="17"/>
      <c r="F23" s="17"/>
      <c r="G23" s="17"/>
      <c r="H23" s="17"/>
      <c r="I23" s="17"/>
      <c r="J23" s="17"/>
      <c r="K23" s="17"/>
      <c r="L23" s="17"/>
      <c r="M23" s="17"/>
      <c r="N23" s="17"/>
      <c r="O23" s="17"/>
      <c r="P23" s="17"/>
      <c r="Q23" s="17"/>
      <c r="R23" s="17"/>
      <c r="S23" s="17"/>
      <c r="T23" s="17"/>
      <c r="U23" s="17"/>
      <c r="V23" s="17"/>
      <c r="W23" s="17"/>
      <c r="X23" s="17"/>
      <c r="Y23" s="17"/>
      <c r="Z23" s="17"/>
      <c r="AA23" s="17"/>
      <c r="AB23" s="17"/>
    </row>
    <row r="24" spans="1:28" ht="30" customHeight="1" x14ac:dyDescent="0.2">
      <c r="A24" s="17"/>
      <c r="B24" s="17"/>
      <c r="C24" s="17"/>
      <c r="D24" s="17"/>
      <c r="E24" s="17"/>
      <c r="F24" s="17"/>
      <c r="G24" s="17"/>
      <c r="H24" s="17"/>
      <c r="I24" s="17"/>
      <c r="J24" s="17"/>
      <c r="K24" s="17"/>
      <c r="L24" s="17"/>
      <c r="M24" s="17"/>
      <c r="N24" s="17"/>
      <c r="O24" s="17"/>
      <c r="P24" s="17"/>
      <c r="Q24" s="17"/>
      <c r="R24" s="17"/>
      <c r="S24" s="17"/>
      <c r="T24" s="17"/>
      <c r="U24" s="17"/>
      <c r="V24" s="17"/>
      <c r="W24" s="17"/>
      <c r="X24" s="17"/>
      <c r="Y24" s="17"/>
      <c r="Z24" s="17"/>
      <c r="AA24" s="17"/>
      <c r="AB24" s="17"/>
    </row>
    <row r="25" spans="1:28" ht="30" customHeight="1" x14ac:dyDescent="0.2">
      <c r="A25" s="17"/>
      <c r="B25" s="17"/>
      <c r="C25" s="17"/>
      <c r="D25" s="17"/>
      <c r="E25" s="17"/>
      <c r="F25" s="17"/>
      <c r="G25" s="17"/>
      <c r="H25" s="17"/>
      <c r="I25" s="17"/>
      <c r="J25" s="17"/>
      <c r="K25" s="17"/>
      <c r="L25" s="17"/>
      <c r="M25" s="17"/>
      <c r="N25" s="17"/>
      <c r="O25" s="17"/>
      <c r="P25" s="17"/>
      <c r="Q25" s="17"/>
      <c r="R25" s="17"/>
      <c r="S25" s="17"/>
      <c r="T25" s="17"/>
      <c r="U25" s="17"/>
      <c r="V25" s="17"/>
      <c r="W25" s="17"/>
      <c r="X25" s="17"/>
      <c r="Y25" s="17"/>
      <c r="Z25" s="17"/>
      <c r="AA25" s="17"/>
      <c r="AB25" s="17"/>
    </row>
    <row r="26" spans="1:28" ht="30" customHeight="1" x14ac:dyDescent="0.2">
      <c r="A26" s="17"/>
      <c r="B26" s="17"/>
      <c r="C26" s="17"/>
      <c r="D26" s="17"/>
      <c r="E26" s="17"/>
      <c r="F26" s="17"/>
      <c r="G26" s="17"/>
      <c r="H26" s="17"/>
      <c r="I26" s="17"/>
      <c r="J26" s="17"/>
      <c r="K26" s="17"/>
      <c r="L26" s="17"/>
      <c r="M26" s="17"/>
      <c r="N26" s="17"/>
      <c r="O26" s="17"/>
      <c r="P26" s="17"/>
      <c r="Q26" s="17"/>
      <c r="R26" s="17"/>
      <c r="S26" s="17"/>
      <c r="T26" s="17"/>
      <c r="U26" s="17"/>
      <c r="V26" s="17"/>
      <c r="W26" s="17"/>
      <c r="X26" s="17"/>
      <c r="Y26" s="17"/>
      <c r="Z26" s="17"/>
      <c r="AA26" s="17"/>
      <c r="AB26" s="17"/>
    </row>
    <row r="27" spans="1:28" ht="30" customHeight="1" x14ac:dyDescent="0.2">
      <c r="A27" s="17"/>
      <c r="B27" s="17"/>
      <c r="C27" s="17"/>
      <c r="D27" s="17"/>
      <c r="E27" s="17"/>
      <c r="F27" s="17"/>
      <c r="G27" s="17"/>
      <c r="H27" s="17"/>
      <c r="I27" s="17"/>
      <c r="J27" s="17"/>
      <c r="K27" s="17"/>
      <c r="L27" s="17"/>
      <c r="M27" s="17"/>
      <c r="N27" s="17"/>
      <c r="O27" s="17"/>
      <c r="P27" s="17"/>
      <c r="Q27" s="17"/>
      <c r="R27" s="17"/>
      <c r="S27" s="17"/>
      <c r="T27" s="17"/>
      <c r="U27" s="17"/>
      <c r="V27" s="17"/>
      <c r="W27" s="17"/>
      <c r="X27" s="17"/>
      <c r="Y27" s="17"/>
      <c r="Z27" s="17"/>
      <c r="AA27" s="17"/>
      <c r="AB27" s="17"/>
    </row>
    <row r="28" spans="1:28" ht="30" customHeight="1" x14ac:dyDescent="0.2">
      <c r="A28" s="17"/>
      <c r="B28" s="17"/>
      <c r="C28" s="17"/>
      <c r="D28" s="17"/>
      <c r="E28" s="17"/>
      <c r="F28" s="17"/>
      <c r="G28" s="17"/>
      <c r="H28" s="17"/>
      <c r="I28" s="17"/>
      <c r="J28" s="17"/>
      <c r="K28" s="17"/>
      <c r="L28" s="17"/>
      <c r="M28" s="17"/>
      <c r="N28" s="17"/>
      <c r="O28" s="17"/>
      <c r="P28" s="17"/>
      <c r="Q28" s="17"/>
      <c r="R28" s="17"/>
      <c r="S28" s="17"/>
      <c r="T28" s="17"/>
      <c r="U28" s="17"/>
      <c r="V28" s="17"/>
      <c r="W28" s="17"/>
      <c r="X28" s="17"/>
      <c r="Y28" s="17"/>
      <c r="Z28" s="17"/>
      <c r="AA28" s="17"/>
      <c r="AB28" s="17"/>
    </row>
  </sheetData>
  <autoFilter ref="A3:AB500" xr:uid="{00000000-0009-0000-0000-000001000000}"/>
  <dataValidations count="3">
    <dataValidation type="textLength" errorStyle="warning" operator="lessThanOrEqual" allowBlank="1" errorTitle="Summary too long" error="The summary is longer than 600 characters. It will still render, but it may overflow the card." sqref="L4:L500" xr:uid="{00000000-0002-0000-0100-00000C000000}">
      <formula1>600</formula1>
    </dataValidation>
    <dataValidation type="textLength" errorStyle="warning" operator="lessThanOrEqual" allowBlank="1" errorTitle="Key result too long" error="Key results are designed for 90 characters. Longer text wraps awkwardly on the card." sqref="M4:M500 N4:N500 O4:O500" xr:uid="{00000000-0002-0000-0100-00000D000000}">
      <formula1>90</formula1>
    </dataValidation>
    <dataValidation type="whole" errorStyle="warning" allowBlank="1" errorTitle="Check the duration" error="Expected a whole number of months between 1 and 120." sqref="Q4:Q500" xr:uid="{00000000-0002-0000-0100-00000E000000}">
      <formula1>1</formula1>
      <formula2>120</formula2>
    </dataValidation>
  </dataValidations>
  <hyperlinks>
    <hyperlink ref="X7" r:id="rId1" xr:uid="{920F0592-F755-1945-9333-10A33AA7E2F4}"/>
  </hyperlinks>
  <pageMargins left="0.75" right="0.75" top="1" bottom="1" header="0.5" footer="0.5"/>
  <legacyDrawing r:id="rId2"/>
  <extLst>
    <ext xmlns:x14="http://schemas.microsoft.com/office/spreadsheetml/2009/9/main" uri="{CCE6A557-97BC-4b89-ADB6-D9C93CAAB3DF}">
      <x14:dataValidations xmlns:xm="http://schemas.microsoft.com/office/excel/2006/main" count="13">
        <x14:dataValidation type="list" allowBlank="1" errorTitle="Value not in the list" error="Pick a value from the dropdown. To add a new one, put it on the Lists sheet first." promptTitle="HQ Country" prompt="Pick from the list." xr:uid="{00000000-0002-0000-0100-000000000000}">
          <x14:formula1>
            <xm:f>Lists!$B$5:$B$51</xm:f>
          </x14:formula1>
          <xm:sqref>C4:C500</xm:sqref>
        </x14:dataValidation>
        <x14:dataValidation type="list" allowBlank="1" errorTitle="Value not in the list" error="Pick a value from the dropdown. To add a new one, put it on the Lists sheet first." promptTitle="Industry" prompt="Pick from the list." xr:uid="{00000000-0002-0000-0100-000001000000}">
          <x14:formula1>
            <xm:f>Lists!$A$5:$A$40</xm:f>
          </x14:formula1>
          <xm:sqref>D4:D500</xm:sqref>
        </x14:dataValidation>
        <x14:dataValidation type="list" allowBlank="1" errorTitle="Value not in the list" error="Pick a value from the dropdown. To add a new one, put it on the Lists sheet first." promptTitle="Employee Range" prompt="Pick from the list." xr:uid="{00000000-0002-0000-0100-000002000000}">
          <x14:formula1>
            <xm:f>Lists!$C$5:$C$34</xm:f>
          </x14:formula1>
          <xm:sqref>E4:E500</xm:sqref>
        </x14:dataValidation>
        <x14:dataValidation type="list" allowBlank="1" errorTitle="Value not in the list" error="Pick a value from the dropdown. To add a new one, put it on the Lists sheet first." promptTitle="User Range" prompt="Pick from the list." xr:uid="{00000000-0002-0000-0100-000003000000}">
          <x14:formula1>
            <xm:f>Lists!$D$5:$D$34</xm:f>
          </x14:formula1>
          <xm:sqref>F4:F500</xm:sqref>
        </x14:dataValidation>
        <x14:dataValidation type="list" allowBlank="1" errorTitle="Value not in the list" error="Pick a value from the dropdown. To add a new one, put it on the Lists sheet first." promptTitle="Workload 1" prompt="Pick from the list. Workload 1 is mandatory." xr:uid="{00000000-0002-0000-0100-000004000000}">
          <x14:formula1>
            <xm:f>Lists!$E$5:$E$47</xm:f>
          </x14:formula1>
          <xm:sqref>G4:G500</xm:sqref>
        </x14:dataValidation>
        <x14:dataValidation type="list" allowBlank="1" errorTitle="Value not in the list" error="Pick a value from the dropdown. To add a new one, put it on the Lists sheet first." promptTitle="Workload 2" prompt="Pick from the list. Workload 1 is mandatory." xr:uid="{00000000-0002-0000-0100-000005000000}">
          <x14:formula1>
            <xm:f>Lists!$E$5:$E$47</xm:f>
          </x14:formula1>
          <xm:sqref>H4:H500</xm:sqref>
        </x14:dataValidation>
        <x14:dataValidation type="list" allowBlank="1" errorTitle="Value not in the list" error="Pick a value from the dropdown. To add a new one, put it on the Lists sheet first." promptTitle="Workload 3" prompt="Pick from the list. Workload 1 is mandatory." xr:uid="{00000000-0002-0000-0100-000006000000}">
          <x14:formula1>
            <xm:f>Lists!$E$5:$E$47</xm:f>
          </x14:formula1>
          <xm:sqref>I4:I500</xm:sqref>
        </x14:dataValidation>
        <x14:dataValidation type="list" allowBlank="1" errorTitle="Value not in the list" error="Pick a value from the dropdown. To add a new one, put it on the Lists sheet first." promptTitle="Workload 4" prompt="Pick from the list. Workload 1 is mandatory." xr:uid="{00000000-0002-0000-0100-000007000000}">
          <x14:formula1>
            <xm:f>Lists!$E$5:$E$47</xm:f>
          </x14:formula1>
          <xm:sqref>J4:J500</xm:sqref>
        </x14:dataValidation>
        <x14:dataValidation type="list" allowBlank="1" errorTitle="Value not in the list" error="Pick a value from the dropdown. To add a new one, put it on the Lists sheet first." promptTitle="Workload 5" prompt="Pick from the list. Workload 1 is mandatory." xr:uid="{00000000-0002-0000-0100-000008000000}">
          <x14:formula1>
            <xm:f>Lists!$E$5:$E$47</xm:f>
          </x14:formula1>
          <xm:sqref>K4:K500</xm:sqref>
        </x14:dataValidation>
        <x14:dataValidation type="list" allowBlank="1" errorTitle="Value not in the list" error="Pick a value from the dropdown. To add a new one, put it on the Lists sheet first." promptTitle="Reference Status" prompt="Approved = usable externally. Internal only = do not publish." xr:uid="{00000000-0002-0000-0100-000009000000}">
          <x14:formula1>
            <xm:f>Lists!$F$5:$F$31</xm:f>
          </x14:formula1>
          <xm:sqref>T4:T500</xm:sqref>
        </x14:dataValidation>
        <x14:dataValidation type="list" allowBlank="1" errorTitle="Value not in the list" error="Pick a value from the dropdown. To add a new one, put it on the Lists sheet first." promptTitle="Source Org" prompt="Which organization contributed this card." xr:uid="{00000000-0002-0000-0100-00000A000000}">
          <x14:formula1>
            <xm:f>Lists!$G$5:$G$31</xm:f>
          </x14:formula1>
          <xm:sqref>V4:V500</xm:sqref>
        </x14:dataValidation>
        <x14:dataValidation type="list" allowBlank="1" errorTitle="Value not in the list" error="Pick a value from the dropdown. To add a new one, put it on the Lists sheet first." promptTitle="Status" prompt="Inactive rows are hidden from the gallery." xr:uid="{00000000-0002-0000-0100-00000B000000}">
          <x14:formula1>
            <xm:f>Lists!$H$5:$H$31</xm:f>
          </x14:formula1>
          <xm:sqref>Y4:Y500</xm:sqref>
        </x14:dataValidation>
        <x14:dataValidation type="list" allowBlank="1" errorTitle="Value not in the list" error="Pick a value from the dropdown. To add a new one, put it on the Lists sheet first." promptTitle="MS Segment" prompt="Pick from the list. Corporate, Enterprise or SMB." xr:uid="{00000000-0002-0000-0100-00000F000000}">
          <x14:formula1>
            <xm:f>Lists!$I$5:$I$7</xm:f>
          </x14:formula1>
          <xm:sqref>AB4:AB500</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I26"/>
  <sheetViews>
    <sheetView showGridLines="0" workbookViewId="0">
      <pane ySplit="4" topLeftCell="A5" activePane="bottomLeft" state="frozen"/>
      <selection pane="bottomLeft"/>
    </sheetView>
  </sheetViews>
  <sheetFormatPr baseColWidth="10" defaultColWidth="8.83203125" defaultRowHeight="15" x14ac:dyDescent="0.2"/>
  <cols>
    <col min="1" max="1" width="27" customWidth="1"/>
    <col min="2" max="2" width="17" customWidth="1"/>
    <col min="3" max="4" width="18" customWidth="1"/>
    <col min="5" max="5" width="32" customWidth="1"/>
    <col min="6" max="6" width="19" customWidth="1"/>
    <col min="7" max="7" width="13" customWidth="1"/>
    <col min="8" max="8" width="11" customWidth="1"/>
    <col min="9" max="9" width="16" customWidth="1"/>
  </cols>
  <sheetData>
    <row r="1" spans="1:8" x14ac:dyDescent="0.2">
      <c r="A1" s="21" t="s">
        <v>142</v>
      </c>
    </row>
    <row r="2" spans="1:8" x14ac:dyDescent="0.2">
      <c r="A2" s="13" t="s">
        <v>143</v>
      </c>
    </row>
    <row r="4" spans="1:9" x14ac:dyDescent="0.2">
      <c r="A4" s="22" t="s">
        <v>144</v>
      </c>
      <c r="B4" s="22" t="s">
        <v>145</v>
      </c>
      <c r="C4" s="22" t="s">
        <v>146</v>
      </c>
      <c r="D4" s="22" t="s">
        <v>147</v>
      </c>
      <c r="E4" s="22" t="s">
        <v>148</v>
      </c>
      <c r="F4" s="22" t="s">
        <v>149</v>
      </c>
      <c r="G4" s="22" t="s">
        <v>150</v>
      </c>
      <c r="H4" s="22" t="s">
        <v>151</v>
      </c>
      <c r="I4" s="22" t="inlineStr">
        <is>
          <t>MS Segment</t>
        </is>
      </c>
    </row>
    <row r="5" spans="1:9" x14ac:dyDescent="0.2">
      <c r="A5" s="23" t="s">
        <v>96</v>
      </c>
      <c r="B5" s="23" t="s">
        <v>152</v>
      </c>
      <c r="C5" s="23" t="s">
        <v>153</v>
      </c>
      <c r="D5" s="23" t="s">
        <v>154</v>
      </c>
      <c r="E5" s="23" t="s">
        <v>112</v>
      </c>
      <c r="F5" s="23" t="s">
        <v>88</v>
      </c>
      <c r="G5" s="23" t="s">
        <v>90</v>
      </c>
      <c r="H5" s="23" t="s">
        <v>92</v>
      </c>
      <c r="I5" s="23" t="inlineStr">
        <is>
          <t>SMB</t>
        </is>
      </c>
    </row>
    <row r="6" spans="1:9" x14ac:dyDescent="0.2">
      <c r="A6" s="23" t="s">
        <v>124</v>
      </c>
      <c r="B6" s="23" t="s">
        <v>75</v>
      </c>
      <c r="C6" s="23" t="s">
        <v>155</v>
      </c>
      <c r="D6" s="23" t="s">
        <v>135</v>
      </c>
      <c r="E6" s="23" t="s">
        <v>100</v>
      </c>
      <c r="F6" s="23" t="s">
        <v>105</v>
      </c>
      <c r="G6" s="23" t="s">
        <v>119</v>
      </c>
      <c r="H6" s="23" t="s">
        <v>156</v>
      </c>
      <c r="I6" s="23" t="inlineStr">
        <is>
          <t>Corporate</t>
        </is>
      </c>
    </row>
    <row r="7" spans="1:9" x14ac:dyDescent="0.2">
      <c r="A7" s="23" t="s">
        <v>76</v>
      </c>
      <c r="B7" s="23" t="s">
        <v>95</v>
      </c>
      <c r="C7" s="23" t="s">
        <v>97</v>
      </c>
      <c r="D7" s="23" t="s">
        <v>98</v>
      </c>
      <c r="E7" s="23" t="s">
        <v>157</v>
      </c>
      <c r="I7" s="23" t="inlineStr">
        <is>
          <t>Enterprise</t>
        </is>
      </c>
    </row>
    <row r="8" spans="1:8" x14ac:dyDescent="0.2">
      <c r="A8" s="23" t="s">
        <v>158</v>
      </c>
      <c r="B8" s="23" t="s">
        <v>123</v>
      </c>
      <c r="C8" s="23" t="s">
        <v>77</v>
      </c>
      <c r="D8" s="23" t="s">
        <v>78</v>
      </c>
      <c r="E8" s="23" t="s">
        <v>137</v>
      </c>
    </row>
    <row r="9" spans="1:8" x14ac:dyDescent="0.2">
      <c r="A9" s="23" t="s">
        <v>159</v>
      </c>
      <c r="B9" s="23" t="s">
        <v>160</v>
      </c>
      <c r="C9" s="23" t="s">
        <v>110</v>
      </c>
      <c r="D9" s="23" t="s">
        <v>111</v>
      </c>
      <c r="E9" s="23" t="s">
        <v>99</v>
      </c>
    </row>
    <row r="10" spans="1:8" x14ac:dyDescent="0.2">
      <c r="A10" s="23" t="s">
        <v>161</v>
      </c>
      <c r="B10" s="23" t="s">
        <v>162</v>
      </c>
      <c r="E10" s="23" t="s">
        <v>163</v>
      </c>
    </row>
    <row r="11" spans="1:8" x14ac:dyDescent="0.2">
      <c r="A11" s="23" t="s">
        <v>164</v>
      </c>
      <c r="B11" s="23" t="s">
        <v>165</v>
      </c>
      <c r="E11" s="23" t="s">
        <v>136</v>
      </c>
    </row>
    <row r="12" spans="1:8" x14ac:dyDescent="0.2">
      <c r="A12" s="23" t="s">
        <v>166</v>
      </c>
      <c r="B12" s="23" t="s">
        <v>167</v>
      </c>
      <c r="E12" s="23" t="s">
        <v>126</v>
      </c>
    </row>
    <row r="13" spans="1:8" x14ac:dyDescent="0.2">
      <c r="A13" s="23" t="s">
        <v>109</v>
      </c>
      <c r="B13" s="23" t="s">
        <v>168</v>
      </c>
      <c r="E13" s="23" t="s">
        <v>169</v>
      </c>
    </row>
    <row r="14" spans="1:8" x14ac:dyDescent="0.2">
      <c r="A14" s="23" t="s">
        <v>134</v>
      </c>
      <c r="B14" s="23" t="s">
        <v>170</v>
      </c>
      <c r="E14" s="23" t="s">
        <v>80</v>
      </c>
    </row>
    <row r="15" spans="1:8" x14ac:dyDescent="0.2">
      <c r="A15" s="23" t="s">
        <v>171</v>
      </c>
      <c r="B15" s="23" t="s">
        <v>172</v>
      </c>
      <c r="E15" s="23" t="s">
        <v>79</v>
      </c>
    </row>
    <row r="16" spans="1:8" x14ac:dyDescent="0.2">
      <c r="B16" s="23" t="s">
        <v>173</v>
      </c>
      <c r="E16" s="23" t="s">
        <v>125</v>
      </c>
    </row>
    <row r="17" spans="2:5" x14ac:dyDescent="0.2">
      <c r="B17" s="23" t="s">
        <v>174</v>
      </c>
      <c r="E17" s="23" t="s">
        <v>175</v>
      </c>
    </row>
    <row r="18" spans="2:5" x14ac:dyDescent="0.2">
      <c r="B18" s="23" t="s">
        <v>176</v>
      </c>
      <c r="E18" s="23" t="s">
        <v>177</v>
      </c>
    </row>
    <row r="19" spans="2:5" x14ac:dyDescent="0.2">
      <c r="B19" s="23" t="s">
        <v>178</v>
      </c>
      <c r="E19" s="23" t="s">
        <v>113</v>
      </c>
    </row>
    <row r="20" spans="2:5" x14ac:dyDescent="0.2">
      <c r="B20" s="23" t="s">
        <v>179</v>
      </c>
      <c r="E20" s="23" t="s">
        <v>101</v>
      </c>
    </row>
    <row r="21" spans="2:5" x14ac:dyDescent="0.2">
      <c r="B21" s="23" t="s">
        <v>180</v>
      </c>
      <c r="E21" s="23" t="s">
        <v>81</v>
      </c>
    </row>
    <row r="22" spans="2:5" x14ac:dyDescent="0.2">
      <c r="B22" s="23" t="s">
        <v>181</v>
      </c>
      <c r="E22" s="23" t="s">
        <v>182</v>
      </c>
    </row>
    <row r="23" spans="2:5" x14ac:dyDescent="0.2">
      <c r="B23" s="23" t="s">
        <v>183</v>
      </c>
    </row>
    <row r="24" spans="2:5" x14ac:dyDescent="0.2">
      <c r="B24" s="23" t="s">
        <v>184</v>
      </c>
    </row>
    <row r="25" spans="2:5" x14ac:dyDescent="0.2">
      <c r="B25" s="23" t="s">
        <v>185</v>
      </c>
    </row>
    <row r="26" spans="2:5" x14ac:dyDescent="0.2">
      <c r="B26" s="23" t="s">
        <v>171</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3</vt:i4>
      </vt:variant>
    </vt:vector>
  </HeadingPairs>
  <TitlesOfParts>
    <vt:vector size="3" baseType="lpstr">
      <vt:lpstr>Instructions</vt:lpstr>
      <vt:lpstr>Cards</vt:lpstr>
      <vt:lpstr>Lists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Lucas Pozzi Santacruz</cp:lastModifiedBy>
  <dcterms:created xsi:type="dcterms:W3CDTF">2026-07-28T21:46:18Z</dcterms:created>
  <dcterms:modified xsi:type="dcterms:W3CDTF">2026-07-28T21:48:32Z</dcterms:modified>
</cp:coreProperties>
</file>